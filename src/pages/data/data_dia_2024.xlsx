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3459c2b1820bce1/Documentos/Proyect_Phyton/Proyect_multi_page/src/pages/data/"/>
    </mc:Choice>
  </mc:AlternateContent>
  <xr:revisionPtr revIDLastSave="175" documentId="13_ncr:1_{5EE33713-D912-4866-B300-568C29DC986F}" xr6:coauthVersionLast="47" xr6:coauthVersionMax="47" xr10:uidLastSave="{86B53E65-A5CD-445A-867F-09955D746A05}"/>
  <bookViews>
    <workbookView xWindow="-120" yWindow="-120" windowWidth="20730" windowHeight="11040" firstSheet="2" activeTab="5" xr2:uid="{00000000-000D-0000-FFFF-FFFF00000000}"/>
  </bookViews>
  <sheets>
    <sheet name="data_dia_mat" sheetId="1" r:id="rId1"/>
    <sheet name="data_dia_len" sheetId="2" r:id="rId2"/>
    <sheet name="data_dia_diag_mat" sheetId="3" r:id="rId3"/>
    <sheet name="data_dia_diag_len" sheetId="4" r:id="rId4"/>
    <sheet name="diag_update_mat" sheetId="5" r:id="rId5"/>
    <sheet name="diag_update_len" sheetId="6" r:id="rId6"/>
  </sheets>
  <definedNames>
    <definedName name="_xlnm._FilterDatabase" localSheetId="0">data_dia_mat!$A$1:$K$35</definedName>
    <definedName name="_xlnm._FilterDatabase" localSheetId="4" hidden="1">diag_update_mat!$A$1:$N$37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2" l="1"/>
  <c r="I69" i="2"/>
  <c r="H69" i="2"/>
  <c r="K69" i="2" s="1"/>
  <c r="G69" i="2"/>
  <c r="F69" i="2"/>
  <c r="E69" i="2"/>
  <c r="K68" i="2"/>
  <c r="J68" i="2"/>
  <c r="I68" i="2"/>
  <c r="H68" i="2"/>
  <c r="G68" i="2"/>
  <c r="F68" i="2"/>
  <c r="E68" i="2"/>
  <c r="J67" i="2"/>
  <c r="K67" i="2" s="1"/>
  <c r="I67" i="2"/>
  <c r="H67" i="2"/>
  <c r="G67" i="2"/>
  <c r="F67" i="2"/>
  <c r="E67" i="2"/>
  <c r="J66" i="2"/>
  <c r="I66" i="2"/>
  <c r="K66" i="2" s="1"/>
  <c r="H66" i="2"/>
  <c r="G66" i="2"/>
  <c r="F66" i="2"/>
  <c r="E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69" i="1"/>
  <c r="J69" i="1"/>
  <c r="I69" i="1"/>
  <c r="H69" i="1"/>
  <c r="L69" i="1" s="1"/>
  <c r="G69" i="1"/>
  <c r="F69" i="1"/>
  <c r="E69" i="1"/>
  <c r="K68" i="1"/>
  <c r="J68" i="1"/>
  <c r="I68" i="1"/>
  <c r="H68" i="1"/>
  <c r="L68" i="1" s="1"/>
  <c r="G68" i="1"/>
  <c r="F68" i="1"/>
  <c r="E68" i="1"/>
  <c r="K67" i="1"/>
  <c r="J67" i="1"/>
  <c r="I67" i="1"/>
  <c r="H67" i="1"/>
  <c r="L67" i="1" s="1"/>
  <c r="G67" i="1"/>
  <c r="F67" i="1"/>
  <c r="E67" i="1"/>
  <c r="K66" i="1"/>
  <c r="J66" i="1"/>
  <c r="I66" i="1"/>
  <c r="H66" i="1"/>
  <c r="L66" i="1" s="1"/>
  <c r="G66" i="1"/>
  <c r="F66" i="1"/>
  <c r="E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K25" i="2"/>
  <c r="K17" i="2"/>
  <c r="K2" i="2" l="1"/>
  <c r="K3" i="2"/>
  <c r="K4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I18" i="4" l="1"/>
  <c r="H18" i="4"/>
  <c r="G18" i="4"/>
  <c r="J18" i="4" s="1"/>
  <c r="F18" i="4"/>
  <c r="E18" i="4"/>
  <c r="D18" i="4"/>
  <c r="I17" i="4"/>
  <c r="H17" i="4"/>
  <c r="G17" i="4"/>
  <c r="J17" i="4" s="1"/>
  <c r="F17" i="4"/>
  <c r="E17" i="4"/>
  <c r="D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L18" i="3"/>
  <c r="K18" i="3"/>
  <c r="J18" i="3"/>
  <c r="I18" i="3"/>
  <c r="H18" i="3"/>
  <c r="G18" i="3"/>
  <c r="F18" i="3"/>
  <c r="L17" i="3"/>
  <c r="K17" i="3"/>
  <c r="J17" i="3"/>
  <c r="I17" i="3"/>
  <c r="H17" i="3"/>
  <c r="G17" i="3"/>
  <c r="F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J35" i="2"/>
  <c r="I35" i="2"/>
  <c r="H35" i="2"/>
  <c r="G35" i="2"/>
  <c r="F35" i="2"/>
  <c r="E35" i="2"/>
  <c r="J34" i="2"/>
  <c r="I34" i="2"/>
  <c r="H34" i="2"/>
  <c r="G34" i="2"/>
  <c r="F34" i="2"/>
  <c r="E34" i="2"/>
  <c r="J33" i="2"/>
  <c r="I33" i="2"/>
  <c r="H33" i="2"/>
  <c r="G33" i="2"/>
  <c r="F33" i="2"/>
  <c r="E33" i="2"/>
  <c r="J32" i="2"/>
  <c r="I32" i="2"/>
  <c r="H32" i="2"/>
  <c r="G32" i="2"/>
  <c r="F32" i="2"/>
  <c r="E32" i="2"/>
  <c r="K31" i="2"/>
  <c r="K30" i="2"/>
  <c r="K29" i="2"/>
  <c r="K28" i="2"/>
  <c r="K27" i="2"/>
  <c r="K26" i="2"/>
  <c r="K24" i="2"/>
  <c r="K23" i="2"/>
  <c r="K22" i="2"/>
  <c r="K21" i="2"/>
  <c r="K20" i="2"/>
  <c r="K19" i="2"/>
  <c r="K18" i="2"/>
  <c r="K16" i="2"/>
  <c r="K15" i="2"/>
  <c r="K14" i="2"/>
  <c r="K13" i="2"/>
  <c r="K12" i="2"/>
  <c r="K11" i="2"/>
  <c r="K10" i="2"/>
  <c r="K9" i="2"/>
  <c r="K8" i="2"/>
  <c r="K7" i="2"/>
  <c r="K6" i="2"/>
  <c r="K5" i="2"/>
  <c r="K35" i="1"/>
  <c r="J35" i="1"/>
  <c r="I35" i="1"/>
  <c r="H35" i="1"/>
  <c r="G35" i="1"/>
  <c r="F35" i="1"/>
  <c r="E35" i="1"/>
  <c r="K34" i="1"/>
  <c r="J34" i="1"/>
  <c r="I34" i="1"/>
  <c r="H34" i="1"/>
  <c r="G34" i="1"/>
  <c r="F34" i="1"/>
  <c r="E34" i="1"/>
  <c r="K33" i="1"/>
  <c r="J33" i="1"/>
  <c r="I33" i="1"/>
  <c r="H33" i="1"/>
  <c r="G33" i="1"/>
  <c r="F33" i="1"/>
  <c r="E33" i="1"/>
  <c r="K32" i="1"/>
  <c r="J32" i="1"/>
  <c r="I32" i="1"/>
  <c r="H32" i="1"/>
  <c r="G32" i="1"/>
  <c r="F32" i="1"/>
  <c r="E32" i="1"/>
  <c r="M18" i="3" l="1"/>
  <c r="M17" i="3"/>
  <c r="L35" i="1"/>
  <c r="L32" i="1"/>
  <c r="K33" i="2"/>
  <c r="K34" i="2"/>
  <c r="K32" i="2"/>
  <c r="K35" i="2"/>
  <c r="L34" i="1"/>
  <c r="L33" i="1"/>
</calcChain>
</file>

<file path=xl/sharedStrings.xml><?xml version="1.0" encoding="utf-8"?>
<sst xmlns="http://schemas.openxmlformats.org/spreadsheetml/2006/main" count="914" uniqueCount="59">
  <si>
    <t>CURSO</t>
  </si>
  <si>
    <t>NIVEL</t>
  </si>
  <si>
    <t>Etapa</t>
  </si>
  <si>
    <t>NIVEL I</t>
  </si>
  <si>
    <t>NIVEL II</t>
  </si>
  <si>
    <t>NIVEL III</t>
  </si>
  <si>
    <t>loc</t>
  </si>
  <si>
    <t>int</t>
  </si>
  <si>
    <t>ref</t>
  </si>
  <si>
    <t>prom_len</t>
  </si>
  <si>
    <t>1A</t>
  </si>
  <si>
    <t>1MEDIO</t>
  </si>
  <si>
    <t>DIAG</t>
  </si>
  <si>
    <t>1B</t>
  </si>
  <si>
    <t>1C</t>
  </si>
  <si>
    <t>1D</t>
  </si>
  <si>
    <t>1E</t>
  </si>
  <si>
    <t>1F</t>
  </si>
  <si>
    <t>1G</t>
  </si>
  <si>
    <t>1H</t>
  </si>
  <si>
    <t>2A</t>
  </si>
  <si>
    <t>2MEDIO</t>
  </si>
  <si>
    <t>2B</t>
  </si>
  <si>
    <t>2C</t>
  </si>
  <si>
    <t>2D</t>
  </si>
  <si>
    <t>2E</t>
  </si>
  <si>
    <t>2F</t>
  </si>
  <si>
    <t>2G</t>
  </si>
  <si>
    <t>1MEDIO GEN</t>
  </si>
  <si>
    <t>2MEDIO GEN</t>
  </si>
  <si>
    <t>num</t>
  </si>
  <si>
    <t>alg</t>
  </si>
  <si>
    <t>geo</t>
  </si>
  <si>
    <t>dat</t>
  </si>
  <si>
    <t>prom_mat</t>
  </si>
  <si>
    <t>INT</t>
  </si>
  <si>
    <t>FIN</t>
  </si>
  <si>
    <t>TIEMPO</t>
  </si>
  <si>
    <t>UNIDAD ACADÉMICA</t>
  </si>
  <si>
    <t>PERÍODO</t>
  </si>
  <si>
    <t>ASIGNATURA</t>
  </si>
  <si>
    <t>ETAPA</t>
  </si>
  <si>
    <t>BÁSICA 1</t>
  </si>
  <si>
    <t>MATEMÁTICA</t>
  </si>
  <si>
    <t>FINAL 2025</t>
  </si>
  <si>
    <t>3BÁSICO</t>
  </si>
  <si>
    <t>4BÁSICO</t>
  </si>
  <si>
    <t>5BÁSICO</t>
  </si>
  <si>
    <t>6BÁSICO</t>
  </si>
  <si>
    <t>7BÁSICO</t>
  </si>
  <si>
    <t>8BÁSICO</t>
  </si>
  <si>
    <t>DIAGNOSTICO 2026</t>
  </si>
  <si>
    <t>BÁSICA 2</t>
  </si>
  <si>
    <t>BÁSICA SF</t>
  </si>
  <si>
    <t>med</t>
  </si>
  <si>
    <t>LENGUAJE</t>
  </si>
  <si>
    <t>2BÁSICO</t>
  </si>
  <si>
    <t>MEDIA LA</t>
  </si>
  <si>
    <t>MEDIA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</si>
</sst>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%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onsolas"/>
      <family val="2"/>
    </font>
    <font>
      <b/>
      <sz val="11"/>
      <color rgb="FFFFFFFF"/>
      <name val="Consolas"/>
      <family val="2"/>
    </font>
    <font>
      <sz val="11"/>
      <color rgb="FF000000"/>
      <name val="Consolas"/>
      <family val="2"/>
    </font>
    <font>
      <sz val="11"/>
      <color theme="1"/>
      <name val="Calibri"/>
      <family val="2"/>
    </font>
    <font>
      <b/>
      <sz val="11"/>
      <color theme="0"/>
      <name val="Consolas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70C0"/>
      </patternFill>
    </fill>
    <fill>
      <patternFill patternType="solid">
        <fgColor rgb="FFDEEBF7"/>
      </patternFill>
    </fill>
    <fill>
      <patternFill patternType="solid">
        <fgColor rgb="FFFFE69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 wrapText="1"/>
    </xf>
    <xf numFmtId="164" fontId="1" fillId="5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1" fillId="6" borderId="1" xfId="0" applyNumberFormat="1" applyFont="1" applyFill="1" applyBorder="1" applyAlignment="1">
      <alignment horizontal="center" wrapText="1"/>
    </xf>
    <xf numFmtId="165" fontId="4" fillId="0" borderId="2" xfId="0" applyNumberFormat="1" applyFont="1" applyBorder="1" applyAlignment="1">
      <alignment horizontal="right"/>
    </xf>
    <xf numFmtId="165" fontId="0" fillId="0" borderId="0" xfId="0" applyNumberFormat="1" applyAlignment="1">
      <alignment horizontal="center"/>
    </xf>
    <xf numFmtId="0" fontId="5" fillId="7" borderId="1" xfId="0" applyFont="1" applyFill="1" applyBorder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0" fillId="0" borderId="3" xfId="0" applyBorder="1"/>
    <xf numFmtId="0" fontId="1" fillId="2" borderId="5" xfId="0" applyFont="1" applyFill="1" applyBorder="1" applyAlignment="1">
      <alignment horizontal="center"/>
    </xf>
    <xf numFmtId="0" fontId="0" fillId="0" borderId="6" xfId="0" applyBorder="1"/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64" fontId="1" fillId="5" borderId="8" xfId="0" applyNumberFormat="1" applyFont="1" applyFill="1" applyBorder="1" applyAlignment="1">
      <alignment horizontal="center" wrapText="1"/>
    </xf>
    <xf numFmtId="164" fontId="1" fillId="5" borderId="8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166" fontId="3" fillId="0" borderId="8" xfId="1" applyNumberFormat="1" applyFont="1" applyBorder="1" applyAlignment="1">
      <alignment horizontal="center"/>
    </xf>
    <xf numFmtId="0" fontId="3" fillId="0" borderId="1" xfId="1" applyNumberFormat="1" applyFont="1" applyBorder="1" applyAlignment="1">
      <alignment horizontal="center"/>
    </xf>
    <xf numFmtId="0" fontId="3" fillId="0" borderId="8" xfId="1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6" fontId="3" fillId="0" borderId="3" xfId="1" applyNumberFormat="1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 wrapText="1"/>
    </xf>
    <xf numFmtId="164" fontId="1" fillId="5" borderId="10" xfId="0" applyNumberFormat="1" applyFont="1" applyFill="1" applyBorder="1" applyAlignment="1">
      <alignment horizontal="center"/>
    </xf>
    <xf numFmtId="165" fontId="1" fillId="6" borderId="10" xfId="0" applyNumberFormat="1" applyFont="1" applyFill="1" applyBorder="1" applyAlignment="1">
      <alignment horizontal="center" wrapText="1"/>
    </xf>
    <xf numFmtId="165" fontId="1" fillId="6" borderId="11" xfId="0" applyNumberFormat="1" applyFont="1" applyFill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166" fontId="3" fillId="0" borderId="12" xfId="1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6" fontId="3" fillId="0" borderId="7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165" formatCode="#,##0%"/>
      <fill>
        <patternFill patternType="solid">
          <fgColor indexed="64"/>
          <bgColor rgb="FFFFE699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166" formatCode="0.0%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164" formatCode="#,##0.0%"/>
      <fill>
        <patternFill patternType="solid">
          <fgColor indexed="64"/>
          <bgColor rgb="FFFFE6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625AB-3424-4720-B64C-3A94669BB298}" name="Tabla2" displayName="Tabla2" ref="A1:N41" totalsRowShown="0" headerRowDxfId="0" headerRowBorderDxfId="16" tableBorderDxfId="17" totalsRowBorderDxfId="15">
  <autoFilter ref="A1:N41" xr:uid="{603625AB-3424-4720-B64C-3A94669BB298}"/>
  <tableColumns count="14">
    <tableColumn id="1" xr3:uid="{C4951A27-4154-41B9-B8D4-A85237FF27BF}" name="PERÍODO" dataDxfId="14"/>
    <tableColumn id="2" xr3:uid="{5E8E4C53-105C-4F0F-B81B-43DF12C5AD0C}" name="UNIDAD ACADÉMICA" dataDxfId="13"/>
    <tableColumn id="3" xr3:uid="{1622C96A-86CF-4A32-88C0-A8FD0D98D6A4}" name="ASIGNATURA" dataDxfId="12"/>
    <tableColumn id="4" xr3:uid="{AAE76B90-D559-4C6D-BCE8-2CB5914A2688}" name="ETAPA" dataDxfId="11" dataCellStyle="Porcentaje"/>
    <tableColumn id="5" xr3:uid="{B27D401D-C4DB-4F5A-907B-A46E26DCD2EB}" name="NIVEL" dataDxfId="10"/>
    <tableColumn id="6" xr3:uid="{82381162-CBF8-4ECF-B3AF-DA6791C58B9F}" name="NIVEL I" dataDxfId="9"/>
    <tableColumn id="7" xr3:uid="{B10D23DF-EC5A-4F8C-AF44-37E67CAA187A}" name="NIVEL II" dataDxfId="8"/>
    <tableColumn id="8" xr3:uid="{65D81586-5C35-48A1-9AC1-4470C0B6F64C}" name="NIVEL III" dataDxfId="7"/>
    <tableColumn id="9" xr3:uid="{54F6FC8D-DFEF-4061-93FF-C58C6CAA5482}" name="num" dataDxfId="6"/>
    <tableColumn id="10" xr3:uid="{A588398E-D9E2-47E2-A40D-A54D5A1F8777}" name="alg" dataDxfId="5"/>
    <tableColumn id="11" xr3:uid="{24694D93-E6C0-4608-803B-1BBFBA44AFB1}" name="geo" dataDxfId="4"/>
    <tableColumn id="12" xr3:uid="{28D83C33-2DC3-47CD-9ADC-F1FF73A0D836}" name="dat" dataDxfId="3"/>
    <tableColumn id="13" xr3:uid="{2FD8D12D-E6C6-480D-9CEF-EE7BE8A525CC}" name="med" dataDxfId="2"/>
    <tableColumn id="14" xr3:uid="{40066EBD-274C-4BC8-B1C6-81AF6378E2A8}" name="prom_mat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E7D88-08B6-4227-B44B-6F2AACDCA85A}" name="Tabla1" displayName="Tabla1" ref="A1:L44" totalsRowShown="0" headerRowDxfId="21" dataDxfId="22" dataCellStyle="Porcentaje">
  <tableColumns count="12">
    <tableColumn id="1" xr3:uid="{BFABC6FB-038F-4877-A79C-66D905599850}" name="PERÍODO" dataDxfId="31"/>
    <tableColumn id="2" xr3:uid="{2A4B2E8A-F289-455C-8AF2-142A5B5039FA}" name="UNIDAD ACADÉMICA" dataDxfId="30"/>
    <tableColumn id="3" xr3:uid="{75021AED-3042-4D7B-A073-F60F1DCB4EF4}" name="ASIGNATURA" dataDxfId="29"/>
    <tableColumn id="4" xr3:uid="{AD981768-D01C-4F19-A096-A7441E4E5255}" name="ETAPA" dataDxfId="20" dataCellStyle="Porcentaje"/>
    <tableColumn id="5" xr3:uid="{C59B8166-AA39-4643-8D4D-56C399243BF4}" name="NIVEL" dataDxfId="18" dataCellStyle="Porcentaje"/>
    <tableColumn id="6" xr3:uid="{D2F2AB2A-0FB6-4DE1-963A-D22995224D52}" name="NIVEL I" dataDxfId="19" dataCellStyle="Porcentaje"/>
    <tableColumn id="7" xr3:uid="{0D50C56D-C38A-4557-8265-DC6576552F9D}" name="NIVEL II" dataDxfId="28" dataCellStyle="Porcentaje"/>
    <tableColumn id="8" xr3:uid="{001A79ED-9900-4053-90F8-0D8D7517B7EA}" name="NIVEL III" dataDxfId="27" dataCellStyle="Porcentaje"/>
    <tableColumn id="9" xr3:uid="{40675EC1-4EDC-4294-ADD7-CD999FEEEE37}" name="loc" dataDxfId="26" dataCellStyle="Porcentaje"/>
    <tableColumn id="10" xr3:uid="{07846A22-0AB6-49E3-8E77-E4DF29BC232E}" name="int" dataDxfId="25" dataCellStyle="Porcentaje"/>
    <tableColumn id="11" xr3:uid="{824A9A32-EBF9-4D91-BCF1-21F5FB910191}" name="ref" dataDxfId="24" dataCellStyle="Porcentaje"/>
    <tableColumn id="12" xr3:uid="{2FAFF1D1-ACFC-409D-980E-C4DD4A1272CF}" name="prom_len" dataDxfId="23" dataCellStyle="Porcentaj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69"/>
  <sheetViews>
    <sheetView topLeftCell="A50" workbookViewId="0">
      <selection activeCell="B1" sqref="B1:B69"/>
    </sheetView>
  </sheetViews>
  <sheetFormatPr baseColWidth="10" defaultColWidth="9.140625" defaultRowHeight="15" x14ac:dyDescent="0.25"/>
  <cols>
    <col min="1" max="1" width="14.5703125" style="9" bestFit="1" customWidth="1"/>
    <col min="2" max="2" width="14.5703125" style="9" customWidth="1"/>
    <col min="3" max="3" width="19.7109375" style="9" bestFit="1" customWidth="1"/>
    <col min="4" max="4" width="18.140625" style="9" bestFit="1" customWidth="1"/>
    <col min="5" max="5" width="12" style="10" bestFit="1" customWidth="1"/>
    <col min="6" max="6" width="12.140625" style="10" bestFit="1" customWidth="1"/>
    <col min="7" max="7" width="14.28515625" style="10" bestFit="1" customWidth="1"/>
    <col min="8" max="10" width="13.5703125" style="10" bestFit="1" customWidth="1"/>
    <col min="11" max="11" width="18.140625" style="10" bestFit="1" customWidth="1"/>
    <col min="12" max="12" width="13.5703125" style="10" bestFit="1" customWidth="1"/>
  </cols>
  <sheetData>
    <row r="1" spans="1:12" ht="18.75" customHeight="1" x14ac:dyDescent="0.25">
      <c r="A1" s="1" t="s">
        <v>0</v>
      </c>
      <c r="B1" s="14" t="s">
        <v>37</v>
      </c>
      <c r="C1" s="2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</row>
    <row r="2" spans="1:12" ht="18.75" customHeight="1" x14ac:dyDescent="0.25">
      <c r="A2" s="7" t="s">
        <v>10</v>
      </c>
      <c r="B2" s="16">
        <v>2024</v>
      </c>
      <c r="C2" s="7" t="s">
        <v>11</v>
      </c>
      <c r="D2" s="7" t="s">
        <v>35</v>
      </c>
      <c r="E2" s="8">
        <v>0.64864864864864868</v>
      </c>
      <c r="F2" s="15">
        <v>0.32432432432432434</v>
      </c>
      <c r="G2" s="8">
        <v>2.7027027027027029E-2</v>
      </c>
      <c r="H2" s="8">
        <v>0.61179729729729726</v>
      </c>
      <c r="I2" s="8">
        <v>0.32972972972972975</v>
      </c>
      <c r="J2" s="8">
        <v>0.23167567567567571</v>
      </c>
      <c r="K2" s="8">
        <v>0.29279189189189186</v>
      </c>
      <c r="L2" s="8">
        <f>IFERROR(ROUND(AVERAGE(H2:K2),3),"")</f>
        <v>0.36599999999999999</v>
      </c>
    </row>
    <row r="3" spans="1:12" ht="18.75" customHeight="1" x14ac:dyDescent="0.25">
      <c r="A3" s="7" t="s">
        <v>13</v>
      </c>
      <c r="B3" s="16">
        <v>2024</v>
      </c>
      <c r="C3" s="7" t="s">
        <v>11</v>
      </c>
      <c r="D3" s="7" t="s">
        <v>35</v>
      </c>
      <c r="E3" s="8">
        <v>0.63157894736842102</v>
      </c>
      <c r="F3" s="8">
        <v>0.31578947368421051</v>
      </c>
      <c r="G3" s="8">
        <v>5.2631578947368418E-2</v>
      </c>
      <c r="H3" s="8">
        <v>0.60287368421052634</v>
      </c>
      <c r="I3" s="8">
        <v>0.30394736842105263</v>
      </c>
      <c r="J3" s="8">
        <v>0.3345921052631578</v>
      </c>
      <c r="K3" s="8">
        <v>0.26754473684210522</v>
      </c>
      <c r="L3" s="8">
        <f t="shared" ref="L3:L35" si="0">IFERROR(ROUND(AVERAGE(H3:K3),3),"")</f>
        <v>0.377</v>
      </c>
    </row>
    <row r="4" spans="1:12" ht="18.75" customHeight="1" x14ac:dyDescent="0.25">
      <c r="A4" s="7" t="s">
        <v>14</v>
      </c>
      <c r="B4" s="16">
        <v>2024</v>
      </c>
      <c r="C4" s="7" t="s">
        <v>11</v>
      </c>
      <c r="D4" s="7" t="s">
        <v>35</v>
      </c>
      <c r="E4" s="8">
        <v>0.63414634146341464</v>
      </c>
      <c r="F4" s="8">
        <v>0.36585365853658536</v>
      </c>
      <c r="G4" s="8">
        <v>0</v>
      </c>
      <c r="H4" s="8">
        <v>0.64746097560975624</v>
      </c>
      <c r="I4" s="8">
        <v>0.22926829268292681</v>
      </c>
      <c r="J4" s="8">
        <v>0.24565853658536582</v>
      </c>
      <c r="K4" s="8">
        <v>0.2601731707317072</v>
      </c>
      <c r="L4" s="8">
        <f t="shared" si="0"/>
        <v>0.34599999999999997</v>
      </c>
    </row>
    <row r="5" spans="1:12" ht="18.75" customHeight="1" x14ac:dyDescent="0.25">
      <c r="A5" s="7" t="s">
        <v>15</v>
      </c>
      <c r="B5" s="16">
        <v>2024</v>
      </c>
      <c r="C5" s="7" t="s">
        <v>11</v>
      </c>
      <c r="D5" s="7" t="s">
        <v>35</v>
      </c>
      <c r="E5" s="8">
        <v>0.95121951219512191</v>
      </c>
      <c r="F5" s="8">
        <v>4.878048780487805E-2</v>
      </c>
      <c r="G5" s="8">
        <v>0</v>
      </c>
      <c r="H5" s="8">
        <v>0.38801951219512182</v>
      </c>
      <c r="I5" s="8">
        <v>0.22682926829268293</v>
      </c>
      <c r="J5" s="8">
        <v>0.14112926829268294</v>
      </c>
      <c r="K5" s="8">
        <v>0.22358292682926828</v>
      </c>
      <c r="L5" s="8">
        <f t="shared" si="0"/>
        <v>0.245</v>
      </c>
    </row>
    <row r="6" spans="1:12" ht="18.75" customHeight="1" x14ac:dyDescent="0.25">
      <c r="A6" s="7" t="s">
        <v>16</v>
      </c>
      <c r="B6" s="16">
        <v>2024</v>
      </c>
      <c r="C6" s="7" t="s">
        <v>11</v>
      </c>
      <c r="D6" s="7" t="s">
        <v>35</v>
      </c>
      <c r="E6" s="8">
        <v>0.88888888888888884</v>
      </c>
      <c r="F6" s="8">
        <v>0.1111111111111111</v>
      </c>
      <c r="G6" s="8">
        <v>0</v>
      </c>
      <c r="H6" s="8">
        <v>0.32322222222222213</v>
      </c>
      <c r="I6" s="8">
        <v>0.34444444444444444</v>
      </c>
      <c r="J6" s="8">
        <v>0.15476666666666666</v>
      </c>
      <c r="K6" s="8">
        <v>0.32870277777777773</v>
      </c>
      <c r="L6" s="8">
        <f t="shared" si="0"/>
        <v>0.28799999999999998</v>
      </c>
    </row>
    <row r="7" spans="1:12" ht="18.75" customHeight="1" x14ac:dyDescent="0.25">
      <c r="A7" s="7" t="s">
        <v>17</v>
      </c>
      <c r="B7" s="16">
        <v>2024</v>
      </c>
      <c r="C7" s="7" t="s">
        <v>11</v>
      </c>
      <c r="D7" s="7" t="s">
        <v>35</v>
      </c>
      <c r="E7" s="8">
        <v>0.9</v>
      </c>
      <c r="F7" s="8">
        <v>0.1</v>
      </c>
      <c r="G7" s="8">
        <v>0</v>
      </c>
      <c r="H7" s="8">
        <v>0.37953250000000005</v>
      </c>
      <c r="I7" s="8">
        <v>0.20250000000000001</v>
      </c>
      <c r="J7" s="8">
        <v>0.1553725</v>
      </c>
      <c r="K7" s="8">
        <v>0.2916725</v>
      </c>
      <c r="L7" s="8">
        <f t="shared" si="0"/>
        <v>0.25700000000000001</v>
      </c>
    </row>
    <row r="8" spans="1:12" ht="18.75" customHeight="1" x14ac:dyDescent="0.25">
      <c r="A8" s="7" t="s">
        <v>18</v>
      </c>
      <c r="B8" s="16">
        <v>2024</v>
      </c>
      <c r="C8" s="7" t="s">
        <v>11</v>
      </c>
      <c r="D8" s="7" t="s">
        <v>35</v>
      </c>
      <c r="E8" s="8">
        <v>0.91428571428571426</v>
      </c>
      <c r="F8" s="8">
        <v>8.5714285714285715E-2</v>
      </c>
      <c r="G8" s="8">
        <v>0</v>
      </c>
      <c r="H8" s="8">
        <v>0.2908885714285715</v>
      </c>
      <c r="I8" s="8">
        <v>0.36571428571428571</v>
      </c>
      <c r="J8" s="8">
        <v>0.14899714285714286</v>
      </c>
      <c r="K8" s="8">
        <v>0.26666857142857142</v>
      </c>
      <c r="L8" s="8">
        <f t="shared" si="0"/>
        <v>0.26800000000000002</v>
      </c>
    </row>
    <row r="9" spans="1:12" ht="18.75" customHeight="1" x14ac:dyDescent="0.25">
      <c r="A9" s="7" t="s">
        <v>19</v>
      </c>
      <c r="B9" s="16">
        <v>2024</v>
      </c>
      <c r="C9" s="7" t="s">
        <v>11</v>
      </c>
      <c r="D9" s="7" t="s">
        <v>35</v>
      </c>
      <c r="E9" s="8">
        <v>0.97435897435897434</v>
      </c>
      <c r="F9" s="8">
        <v>2.564102564102564E-2</v>
      </c>
      <c r="G9" s="8">
        <v>0</v>
      </c>
      <c r="H9" s="8">
        <v>0.4265692307692307</v>
      </c>
      <c r="I9" s="8">
        <v>0.12564102564102564</v>
      </c>
      <c r="J9" s="8">
        <v>5.8615384615384604E-2</v>
      </c>
      <c r="K9" s="8">
        <v>8.1200000000000008E-2</v>
      </c>
      <c r="L9" s="8">
        <f t="shared" si="0"/>
        <v>0.17299999999999999</v>
      </c>
    </row>
    <row r="10" spans="1:12" ht="18.75" customHeight="1" x14ac:dyDescent="0.25">
      <c r="A10" s="7" t="s">
        <v>20</v>
      </c>
      <c r="B10" s="16">
        <v>2024</v>
      </c>
      <c r="C10" s="7" t="s">
        <v>21</v>
      </c>
      <c r="D10" s="7" t="s">
        <v>35</v>
      </c>
      <c r="E10" s="8">
        <v>0.65625</v>
      </c>
      <c r="F10" s="8">
        <v>0.34375</v>
      </c>
      <c r="G10" s="8">
        <v>0</v>
      </c>
      <c r="H10" s="8">
        <v>0.63542500000000013</v>
      </c>
      <c r="I10" s="8">
        <v>0.27865624999999999</v>
      </c>
      <c r="J10" s="8">
        <v>0.22916249999999999</v>
      </c>
      <c r="K10" s="8">
        <v>0.3</v>
      </c>
      <c r="L10" s="8">
        <f t="shared" si="0"/>
        <v>0.36099999999999999</v>
      </c>
    </row>
    <row r="11" spans="1:12" ht="18.75" customHeight="1" x14ac:dyDescent="0.25">
      <c r="A11" s="7" t="s">
        <v>22</v>
      </c>
      <c r="B11" s="16">
        <v>2024</v>
      </c>
      <c r="C11" s="7" t="s">
        <v>21</v>
      </c>
      <c r="D11" s="7" t="s">
        <v>35</v>
      </c>
      <c r="E11" s="8">
        <v>0.90322580645161288</v>
      </c>
      <c r="F11" s="8">
        <v>9.6774193548387094E-2</v>
      </c>
      <c r="G11" s="8">
        <v>0</v>
      </c>
      <c r="H11" s="8">
        <v>0.60751935483870956</v>
      </c>
      <c r="I11" s="8">
        <v>0.21908709677419355</v>
      </c>
      <c r="J11" s="8">
        <v>0.15054838709677423</v>
      </c>
      <c r="K11" s="8">
        <v>0.2</v>
      </c>
      <c r="L11" s="8">
        <f t="shared" si="0"/>
        <v>0.29399999999999998</v>
      </c>
    </row>
    <row r="12" spans="1:12" ht="18.75" customHeight="1" x14ac:dyDescent="0.25">
      <c r="A12" s="7" t="s">
        <v>23</v>
      </c>
      <c r="B12" s="16">
        <v>2024</v>
      </c>
      <c r="C12" s="7" t="s">
        <v>21</v>
      </c>
      <c r="D12" s="7" t="s">
        <v>35</v>
      </c>
      <c r="E12" s="8">
        <v>0.84</v>
      </c>
      <c r="F12" s="8">
        <v>0.16</v>
      </c>
      <c r="G12" s="8">
        <v>0</v>
      </c>
      <c r="H12" s="8">
        <v>0.37</v>
      </c>
      <c r="I12" s="8">
        <v>0.35499999999999998</v>
      </c>
      <c r="J12" s="8">
        <v>0.18667600000000004</v>
      </c>
      <c r="K12" s="8">
        <v>0.38400000000000001</v>
      </c>
      <c r="L12" s="8">
        <f t="shared" si="0"/>
        <v>0.32400000000000001</v>
      </c>
    </row>
    <row r="13" spans="1:12" ht="18.75" customHeight="1" x14ac:dyDescent="0.25">
      <c r="A13" s="7" t="s">
        <v>24</v>
      </c>
      <c r="B13" s="16">
        <v>2024</v>
      </c>
      <c r="C13" s="7" t="s">
        <v>21</v>
      </c>
      <c r="D13" s="7" t="s">
        <v>35</v>
      </c>
      <c r="E13" s="8">
        <v>0.86206896551724133</v>
      </c>
      <c r="F13" s="8">
        <v>0.13793103448275862</v>
      </c>
      <c r="G13" s="8">
        <v>0</v>
      </c>
      <c r="H13" s="8">
        <v>0.59482758620689657</v>
      </c>
      <c r="I13" s="8">
        <v>0.21263793103448284</v>
      </c>
      <c r="J13" s="8">
        <v>0.17241724137931033</v>
      </c>
      <c r="K13" s="8">
        <v>0.19310344827586207</v>
      </c>
      <c r="L13" s="8">
        <f t="shared" si="0"/>
        <v>0.29299999999999998</v>
      </c>
    </row>
    <row r="14" spans="1:12" ht="18.75" customHeight="1" x14ac:dyDescent="0.25">
      <c r="A14" s="7" t="s">
        <v>25</v>
      </c>
      <c r="B14" s="16">
        <v>2024</v>
      </c>
      <c r="C14" s="7" t="s">
        <v>21</v>
      </c>
      <c r="D14" s="7" t="s">
        <v>35</v>
      </c>
      <c r="E14" s="8">
        <v>1</v>
      </c>
      <c r="F14" s="8">
        <v>0</v>
      </c>
      <c r="G14" s="8">
        <v>0</v>
      </c>
      <c r="H14" s="8">
        <v>0.32575454545454541</v>
      </c>
      <c r="I14" s="8">
        <v>0.29734090909090916</v>
      </c>
      <c r="J14" s="8">
        <v>0.1969727272727273</v>
      </c>
      <c r="K14" s="8">
        <v>0.31818181818181818</v>
      </c>
      <c r="L14" s="8">
        <f t="shared" si="0"/>
        <v>0.28499999999999998</v>
      </c>
    </row>
    <row r="15" spans="1:12" ht="18.75" customHeight="1" x14ac:dyDescent="0.25">
      <c r="A15" s="7" t="s">
        <v>26</v>
      </c>
      <c r="B15" s="16">
        <v>2024</v>
      </c>
      <c r="C15" s="7" t="s">
        <v>21</v>
      </c>
      <c r="D15" s="7" t="s">
        <v>35</v>
      </c>
      <c r="E15" s="8">
        <v>0.81818181818181823</v>
      </c>
      <c r="F15" s="8">
        <v>0.18181818181818182</v>
      </c>
      <c r="G15" s="8">
        <v>0</v>
      </c>
      <c r="H15" s="8">
        <v>0.62121818181818189</v>
      </c>
      <c r="I15" s="8">
        <v>0.20454545454545453</v>
      </c>
      <c r="J15" s="8">
        <v>0.18686969696969696</v>
      </c>
      <c r="K15" s="8">
        <v>0.34545454545454546</v>
      </c>
      <c r="L15" s="8">
        <f t="shared" si="0"/>
        <v>0.34</v>
      </c>
    </row>
    <row r="16" spans="1:12" ht="18.75" customHeight="1" x14ac:dyDescent="0.25">
      <c r="A16" s="7" t="s">
        <v>27</v>
      </c>
      <c r="B16" s="16">
        <v>2024</v>
      </c>
      <c r="C16" s="7" t="s">
        <v>21</v>
      </c>
      <c r="D16" s="7" t="s">
        <v>35</v>
      </c>
      <c r="E16" s="8">
        <v>0.68965517241379315</v>
      </c>
      <c r="F16" s="8">
        <v>0.31034482758620691</v>
      </c>
      <c r="G16" s="8">
        <v>0</v>
      </c>
      <c r="H16" s="8">
        <v>0.73850344827586201</v>
      </c>
      <c r="I16" s="8">
        <v>0.24425517241379302</v>
      </c>
      <c r="J16" s="8">
        <v>0.22413793103448282</v>
      </c>
      <c r="K16" s="8">
        <v>0.28275862068965518</v>
      </c>
      <c r="L16" s="8">
        <f t="shared" si="0"/>
        <v>0.372</v>
      </c>
    </row>
    <row r="17" spans="1:12" ht="18.75" customHeight="1" x14ac:dyDescent="0.25">
      <c r="A17" s="7" t="s">
        <v>10</v>
      </c>
      <c r="B17" s="16">
        <v>2024</v>
      </c>
      <c r="C17" s="7" t="s">
        <v>11</v>
      </c>
      <c r="D17" s="7" t="s">
        <v>36</v>
      </c>
      <c r="E17" s="8">
        <v>0.33333333333333331</v>
      </c>
      <c r="F17" s="8">
        <v>0.63636363636363635</v>
      </c>
      <c r="G17" s="8">
        <v>3.0303030303030304E-2</v>
      </c>
      <c r="H17" s="8">
        <v>0.69697878787878775</v>
      </c>
      <c r="I17" s="8">
        <v>0.45757575757575758</v>
      </c>
      <c r="J17" s="8">
        <v>0.32901515151515154</v>
      </c>
      <c r="K17" s="8">
        <v>0.36363939393939404</v>
      </c>
      <c r="L17" s="8">
        <f t="shared" si="0"/>
        <v>0.46200000000000002</v>
      </c>
    </row>
    <row r="18" spans="1:12" ht="18.75" customHeight="1" x14ac:dyDescent="0.25">
      <c r="A18" s="7" t="s">
        <v>13</v>
      </c>
      <c r="B18" s="16">
        <v>2024</v>
      </c>
      <c r="C18" s="7" t="s">
        <v>11</v>
      </c>
      <c r="D18" s="7" t="s">
        <v>36</v>
      </c>
      <c r="E18" s="8">
        <v>0.56756756756756754</v>
      </c>
      <c r="F18" s="8">
        <v>0.3783783783783784</v>
      </c>
      <c r="G18" s="8">
        <v>5.4054054054054057E-2</v>
      </c>
      <c r="H18" s="8">
        <v>0.50613783783783783</v>
      </c>
      <c r="I18" s="8">
        <v>0.37027027027027026</v>
      </c>
      <c r="J18" s="8">
        <v>0.38224324324324316</v>
      </c>
      <c r="K18" s="8">
        <v>0.41891351351351347</v>
      </c>
      <c r="L18" s="8">
        <f t="shared" si="0"/>
        <v>0.41899999999999998</v>
      </c>
    </row>
    <row r="19" spans="1:12" ht="18.75" customHeight="1" x14ac:dyDescent="0.25">
      <c r="A19" s="7" t="s">
        <v>14</v>
      </c>
      <c r="B19" s="16">
        <v>2024</v>
      </c>
      <c r="C19" s="7" t="s">
        <v>11</v>
      </c>
      <c r="D19" s="7" t="s">
        <v>36</v>
      </c>
      <c r="E19" s="8">
        <v>0.63157894736842102</v>
      </c>
      <c r="F19" s="8">
        <v>0.31578947368421051</v>
      </c>
      <c r="G19" s="8">
        <v>5.2631578947368418E-2</v>
      </c>
      <c r="H19" s="8">
        <v>0.54544473684210515</v>
      </c>
      <c r="I19" s="8">
        <v>0.34342105263157896</v>
      </c>
      <c r="J19" s="8">
        <v>0.34211578947368421</v>
      </c>
      <c r="K19" s="8">
        <v>0.38157368421052629</v>
      </c>
      <c r="L19" s="8">
        <f t="shared" si="0"/>
        <v>0.40300000000000002</v>
      </c>
    </row>
    <row r="20" spans="1:12" ht="18.75" customHeight="1" x14ac:dyDescent="0.25">
      <c r="A20" s="7" t="s">
        <v>15</v>
      </c>
      <c r="B20" s="16">
        <v>2024</v>
      </c>
      <c r="C20" s="7" t="s">
        <v>11</v>
      </c>
      <c r="D20" s="7" t="s">
        <v>36</v>
      </c>
      <c r="E20" s="8">
        <v>0.44736842105263158</v>
      </c>
      <c r="F20" s="8">
        <v>0.55263157894736847</v>
      </c>
      <c r="G20" s="8">
        <v>0</v>
      </c>
      <c r="H20" s="8">
        <v>0.51197105263157894</v>
      </c>
      <c r="I20" s="8">
        <v>0.46842105263157896</v>
      </c>
      <c r="J20" s="8">
        <v>0.35338947368421048</v>
      </c>
      <c r="K20" s="8">
        <v>0.37280263157894744</v>
      </c>
      <c r="L20" s="8">
        <f t="shared" si="0"/>
        <v>0.42699999999999999</v>
      </c>
    </row>
    <row r="21" spans="1:12" ht="18.75" customHeight="1" x14ac:dyDescent="0.25">
      <c r="A21" s="7" t="s">
        <v>16</v>
      </c>
      <c r="B21" s="16">
        <v>2024</v>
      </c>
      <c r="C21" s="7" t="s">
        <v>11</v>
      </c>
      <c r="D21" s="7" t="s">
        <v>36</v>
      </c>
      <c r="E21" s="8">
        <v>0.82352941176470584</v>
      </c>
      <c r="F21" s="8">
        <v>0.17647058823529413</v>
      </c>
      <c r="G21" s="8">
        <v>0</v>
      </c>
      <c r="H21" s="8">
        <v>0.39302941176470585</v>
      </c>
      <c r="I21" s="8">
        <v>0.32205882352941173</v>
      </c>
      <c r="J21" s="8">
        <v>0.29412058823529419</v>
      </c>
      <c r="K21" s="8">
        <v>0.28431470588235291</v>
      </c>
      <c r="L21" s="8">
        <f t="shared" si="0"/>
        <v>0.32300000000000001</v>
      </c>
    </row>
    <row r="22" spans="1:12" ht="18.75" customHeight="1" x14ac:dyDescent="0.25">
      <c r="A22" s="7" t="s">
        <v>17</v>
      </c>
      <c r="B22" s="16">
        <v>2024</v>
      </c>
      <c r="C22" s="7" t="s">
        <v>11</v>
      </c>
      <c r="D22" s="7" t="s">
        <v>36</v>
      </c>
      <c r="E22" s="8">
        <v>0.68421052631578949</v>
      </c>
      <c r="F22" s="8">
        <v>0.26315789473684209</v>
      </c>
      <c r="G22" s="8">
        <v>5.2631578947368418E-2</v>
      </c>
      <c r="H22" s="8">
        <v>0.50957105263157898</v>
      </c>
      <c r="I22" s="8">
        <v>0.4</v>
      </c>
      <c r="J22" s="8">
        <v>0.28573157894736834</v>
      </c>
      <c r="K22" s="8">
        <v>0.35526578947368415</v>
      </c>
      <c r="L22" s="8">
        <f t="shared" si="0"/>
        <v>0.38800000000000001</v>
      </c>
    </row>
    <row r="23" spans="1:12" ht="18.75" customHeight="1" x14ac:dyDescent="0.25">
      <c r="A23" s="7" t="s">
        <v>18</v>
      </c>
      <c r="B23" s="16">
        <v>2024</v>
      </c>
      <c r="C23" s="7" t="s">
        <v>11</v>
      </c>
      <c r="D23" s="7" t="s">
        <v>36</v>
      </c>
      <c r="E23" s="8">
        <v>0.9</v>
      </c>
      <c r="F23" s="8">
        <v>0.1</v>
      </c>
      <c r="G23" s="8">
        <v>0</v>
      </c>
      <c r="H23" s="8">
        <v>0.30907666666666672</v>
      </c>
      <c r="I23" s="8">
        <v>0.24666666666666667</v>
      </c>
      <c r="J23" s="8">
        <v>0.22381333333333334</v>
      </c>
      <c r="K23" s="8">
        <v>0.3111133333333333</v>
      </c>
      <c r="L23" s="8">
        <f t="shared" si="0"/>
        <v>0.27300000000000002</v>
      </c>
    </row>
    <row r="24" spans="1:12" ht="18.75" customHeight="1" x14ac:dyDescent="0.25">
      <c r="A24" s="7" t="s">
        <v>19</v>
      </c>
      <c r="B24" s="16">
        <v>2024</v>
      </c>
      <c r="C24" s="7" t="s">
        <v>11</v>
      </c>
      <c r="D24" s="7" t="s">
        <v>36</v>
      </c>
      <c r="E24" s="8">
        <v>0.86842105263157898</v>
      </c>
      <c r="F24" s="8">
        <v>0.13157894736842105</v>
      </c>
      <c r="G24" s="8">
        <v>0</v>
      </c>
      <c r="H24" s="8">
        <v>0.33730263157894741</v>
      </c>
      <c r="I24" s="8">
        <v>0.2868421052631579</v>
      </c>
      <c r="J24" s="8">
        <v>0.27444210526315793</v>
      </c>
      <c r="K24" s="8">
        <v>0.35964999999999991</v>
      </c>
      <c r="L24" s="8">
        <f t="shared" si="0"/>
        <v>0.315</v>
      </c>
    </row>
    <row r="25" spans="1:12" ht="18.75" customHeight="1" x14ac:dyDescent="0.25">
      <c r="A25" s="7" t="s">
        <v>20</v>
      </c>
      <c r="B25" s="16">
        <v>2024</v>
      </c>
      <c r="C25" s="7" t="s">
        <v>21</v>
      </c>
      <c r="D25" s="7" t="s">
        <v>36</v>
      </c>
      <c r="E25" s="8">
        <v>0.8571428571428571</v>
      </c>
      <c r="F25" s="8">
        <v>9.5238095238095233E-2</v>
      </c>
      <c r="G25" s="8">
        <v>4.7619047619047616E-2</v>
      </c>
      <c r="H25" s="8">
        <v>0.38889047619047618</v>
      </c>
      <c r="I25" s="8">
        <v>0.25596190476190478</v>
      </c>
      <c r="J25" s="8">
        <v>0.2698523809523809</v>
      </c>
      <c r="K25" s="8">
        <v>0.31428571428571428</v>
      </c>
      <c r="L25" s="8">
        <f t="shared" si="0"/>
        <v>0.307</v>
      </c>
    </row>
    <row r="26" spans="1:12" ht="18.75" customHeight="1" x14ac:dyDescent="0.25">
      <c r="A26" s="7" t="s">
        <v>22</v>
      </c>
      <c r="B26" s="16">
        <v>2024</v>
      </c>
      <c r="C26" s="7" t="s">
        <v>21</v>
      </c>
      <c r="D26" s="7" t="s">
        <v>36</v>
      </c>
      <c r="E26" s="8">
        <v>0.76190476190476186</v>
      </c>
      <c r="F26" s="8">
        <v>0.23809523809523808</v>
      </c>
      <c r="G26" s="8">
        <v>0</v>
      </c>
      <c r="H26" s="8">
        <v>0.39284761904761906</v>
      </c>
      <c r="I26" s="8">
        <v>0.26190000000000002</v>
      </c>
      <c r="J26" s="8">
        <v>0.26190476190476192</v>
      </c>
      <c r="K26" s="8">
        <v>0.32380952380952377</v>
      </c>
      <c r="L26" s="8">
        <f t="shared" si="0"/>
        <v>0.31</v>
      </c>
    </row>
    <row r="27" spans="1:12" ht="18.75" customHeight="1" x14ac:dyDescent="0.25">
      <c r="A27" s="7" t="s">
        <v>23</v>
      </c>
      <c r="B27" s="16">
        <v>2024</v>
      </c>
      <c r="C27" s="7" t="s">
        <v>21</v>
      </c>
      <c r="D27" s="7" t="s">
        <v>36</v>
      </c>
      <c r="E27" s="8">
        <v>1</v>
      </c>
      <c r="F27" s="8">
        <v>0</v>
      </c>
      <c r="G27" s="8">
        <v>0</v>
      </c>
      <c r="H27" s="8">
        <v>0.25</v>
      </c>
      <c r="I27" s="8">
        <v>0.20487500000000008</v>
      </c>
      <c r="J27" s="8">
        <v>0.24305416666666663</v>
      </c>
      <c r="K27" s="8">
        <v>0.3</v>
      </c>
      <c r="L27" s="8">
        <f t="shared" si="0"/>
        <v>0.249</v>
      </c>
    </row>
    <row r="28" spans="1:12" ht="18.75" customHeight="1" x14ac:dyDescent="0.25">
      <c r="A28" s="7" t="s">
        <v>24</v>
      </c>
      <c r="B28" s="16">
        <v>2024</v>
      </c>
      <c r="C28" s="7" t="s">
        <v>21</v>
      </c>
      <c r="D28" s="7" t="s">
        <v>36</v>
      </c>
      <c r="E28" s="8">
        <v>0.6</v>
      </c>
      <c r="F28" s="8">
        <v>0.4</v>
      </c>
      <c r="G28" s="8">
        <v>0</v>
      </c>
      <c r="H28" s="8">
        <v>0.47500500000000001</v>
      </c>
      <c r="I28" s="8">
        <v>0.37291500000000005</v>
      </c>
      <c r="J28" s="8">
        <v>0.266675</v>
      </c>
      <c r="K28" s="8">
        <v>0.36</v>
      </c>
      <c r="L28" s="8">
        <f t="shared" si="0"/>
        <v>0.36899999999999999</v>
      </c>
    </row>
    <row r="29" spans="1:12" ht="18.75" customHeight="1" x14ac:dyDescent="0.25">
      <c r="A29" s="7" t="s">
        <v>25</v>
      </c>
      <c r="B29" s="16">
        <v>2024</v>
      </c>
      <c r="C29" s="7" t="s">
        <v>21</v>
      </c>
      <c r="D29" s="7" t="s">
        <v>36</v>
      </c>
      <c r="E29" s="8">
        <v>0.96153846153846156</v>
      </c>
      <c r="F29" s="8">
        <v>3.8461538461538464E-2</v>
      </c>
      <c r="G29" s="8">
        <v>0</v>
      </c>
      <c r="H29" s="8">
        <v>0.31730384615384616</v>
      </c>
      <c r="I29" s="8">
        <v>0.25320384615384622</v>
      </c>
      <c r="J29" s="8">
        <v>0.25639999999999996</v>
      </c>
      <c r="K29" s="8">
        <v>0.34615384615384615</v>
      </c>
      <c r="L29" s="8">
        <f t="shared" si="0"/>
        <v>0.29299999999999998</v>
      </c>
    </row>
    <row r="30" spans="1:12" ht="18.75" customHeight="1" x14ac:dyDescent="0.25">
      <c r="A30" s="7" t="s">
        <v>26</v>
      </c>
      <c r="B30" s="16">
        <v>2024</v>
      </c>
      <c r="C30" s="7" t="s">
        <v>21</v>
      </c>
      <c r="D30" s="7" t="s">
        <v>36</v>
      </c>
      <c r="E30" s="8">
        <v>0.4</v>
      </c>
      <c r="F30" s="8">
        <v>0.6</v>
      </c>
      <c r="G30" s="8">
        <v>0</v>
      </c>
      <c r="H30" s="8">
        <v>0.61389000000000005</v>
      </c>
      <c r="I30" s="8">
        <v>0.40694333333333332</v>
      </c>
      <c r="J30" s="8">
        <v>0.27778666666666668</v>
      </c>
      <c r="K30" s="8">
        <v>0.39333333333333337</v>
      </c>
      <c r="L30" s="8">
        <f t="shared" si="0"/>
        <v>0.42299999999999999</v>
      </c>
    </row>
    <row r="31" spans="1:12" ht="18.75" customHeight="1" x14ac:dyDescent="0.25">
      <c r="A31" s="7" t="s">
        <v>27</v>
      </c>
      <c r="B31" s="16">
        <v>2024</v>
      </c>
      <c r="C31" s="7" t="s">
        <v>21</v>
      </c>
      <c r="D31" s="7" t="s">
        <v>36</v>
      </c>
      <c r="E31" s="8">
        <v>0.5</v>
      </c>
      <c r="F31" s="8">
        <v>0.5</v>
      </c>
      <c r="G31" s="8">
        <v>0</v>
      </c>
      <c r="H31" s="8">
        <v>0.54166999999999998</v>
      </c>
      <c r="I31" s="8">
        <v>0.38472333333333331</v>
      </c>
      <c r="J31" s="8">
        <v>0.37221666666666664</v>
      </c>
      <c r="K31" s="8">
        <v>0.32</v>
      </c>
      <c r="L31" s="8">
        <f t="shared" si="0"/>
        <v>0.40500000000000003</v>
      </c>
    </row>
    <row r="32" spans="1:12" ht="18.75" customHeight="1" x14ac:dyDescent="0.25">
      <c r="A32" s="7" t="s">
        <v>28</v>
      </c>
      <c r="B32" s="16">
        <v>2024</v>
      </c>
      <c r="C32" s="7" t="s">
        <v>11</v>
      </c>
      <c r="D32" s="7" t="s">
        <v>35</v>
      </c>
      <c r="E32" s="8">
        <f t="shared" ref="E32:K35" si="1">IFERROR(AVERAGEIFS(E$2:E$31,$C$2:$C$31,$C32,$D$2:$D$31,$D32),"")</f>
        <v>0.81789087840114805</v>
      </c>
      <c r="F32" s="8">
        <f t="shared" si="1"/>
        <v>0.17215179585205259</v>
      </c>
      <c r="G32" s="8">
        <f t="shared" si="1"/>
        <v>9.9573257467994308E-3</v>
      </c>
      <c r="H32" s="8">
        <f t="shared" si="1"/>
        <v>0.4587954992165908</v>
      </c>
      <c r="I32" s="8">
        <f t="shared" si="1"/>
        <v>0.26600930186576849</v>
      </c>
      <c r="J32" s="8">
        <f t="shared" si="1"/>
        <v>0.18385090999450951</v>
      </c>
      <c r="K32" s="8">
        <f t="shared" si="1"/>
        <v>0.25154207193766526</v>
      </c>
      <c r="L32" s="8">
        <f t="shared" si="0"/>
        <v>0.28999999999999998</v>
      </c>
    </row>
    <row r="33" spans="1:12" ht="18.75" customHeight="1" x14ac:dyDescent="0.25">
      <c r="A33" s="7" t="s">
        <v>29</v>
      </c>
      <c r="B33" s="16">
        <v>2024</v>
      </c>
      <c r="C33" s="7" t="s">
        <v>21</v>
      </c>
      <c r="D33" s="7" t="s">
        <v>35</v>
      </c>
      <c r="E33" s="8">
        <f t="shared" si="1"/>
        <v>0.82419739465206654</v>
      </c>
      <c r="F33" s="8">
        <f t="shared" si="1"/>
        <v>0.17580260534793352</v>
      </c>
      <c r="G33" s="8">
        <f t="shared" si="1"/>
        <v>0</v>
      </c>
      <c r="H33" s="8">
        <f t="shared" si="1"/>
        <v>0.55617830237059929</v>
      </c>
      <c r="I33" s="8">
        <f t="shared" si="1"/>
        <v>0.25878897340840473</v>
      </c>
      <c r="J33" s="8">
        <f t="shared" si="1"/>
        <v>0.19239778339328456</v>
      </c>
      <c r="K33" s="8">
        <f t="shared" si="1"/>
        <v>0.2890712046574116</v>
      </c>
      <c r="L33" s="8">
        <f t="shared" si="0"/>
        <v>0.32400000000000001</v>
      </c>
    </row>
    <row r="34" spans="1:12" ht="18.75" customHeight="1" x14ac:dyDescent="0.25">
      <c r="A34" s="7" t="s">
        <v>28</v>
      </c>
      <c r="B34" s="16">
        <v>2024</v>
      </c>
      <c r="C34" s="7" t="s">
        <v>11</v>
      </c>
      <c r="D34" s="7" t="s">
        <v>36</v>
      </c>
      <c r="E34" s="8">
        <f t="shared" si="1"/>
        <v>0.65700115750425347</v>
      </c>
      <c r="F34" s="8">
        <f t="shared" si="1"/>
        <v>0.31929631221426891</v>
      </c>
      <c r="G34" s="8">
        <f t="shared" si="1"/>
        <v>2.370253028147765E-2</v>
      </c>
      <c r="H34" s="8">
        <f t="shared" si="1"/>
        <v>0.47618902222902609</v>
      </c>
      <c r="I34" s="8">
        <f t="shared" si="1"/>
        <v>0.36190696607105272</v>
      </c>
      <c r="J34" s="8">
        <f t="shared" si="1"/>
        <v>0.31060890796193036</v>
      </c>
      <c r="K34" s="8">
        <f t="shared" si="1"/>
        <v>0.35590913149146891</v>
      </c>
      <c r="L34" s="8">
        <f t="shared" si="0"/>
        <v>0.376</v>
      </c>
    </row>
    <row r="35" spans="1:12" ht="18.75" customHeight="1" x14ac:dyDescent="0.25">
      <c r="A35" s="7" t="s">
        <v>29</v>
      </c>
      <c r="B35" s="16">
        <v>2024</v>
      </c>
      <c r="C35" s="7" t="s">
        <v>21</v>
      </c>
      <c r="D35" s="7" t="s">
        <v>36</v>
      </c>
      <c r="E35" s="8">
        <f t="shared" si="1"/>
        <v>0.72579801151229728</v>
      </c>
      <c r="F35" s="8">
        <f t="shared" si="1"/>
        <v>0.26739926739926739</v>
      </c>
      <c r="G35" s="8">
        <f t="shared" si="1"/>
        <v>6.8027210884353739E-3</v>
      </c>
      <c r="H35" s="8">
        <f t="shared" si="1"/>
        <v>0.42565813448456308</v>
      </c>
      <c r="I35" s="8">
        <f t="shared" si="1"/>
        <v>0.30578891679748832</v>
      </c>
      <c r="J35" s="8">
        <f t="shared" si="1"/>
        <v>0.27826994897959179</v>
      </c>
      <c r="K35" s="8">
        <f t="shared" si="1"/>
        <v>0.3367974882260597</v>
      </c>
      <c r="L35" s="8">
        <f t="shared" si="0"/>
        <v>0.33700000000000002</v>
      </c>
    </row>
    <row r="36" spans="1:12" x14ac:dyDescent="0.25">
      <c r="A36" s="7" t="s">
        <v>10</v>
      </c>
      <c r="B36" s="16">
        <v>2025</v>
      </c>
      <c r="C36" s="7" t="s">
        <v>11</v>
      </c>
      <c r="D36" s="7" t="s">
        <v>35</v>
      </c>
      <c r="E36" s="8">
        <v>0.64864864864864868</v>
      </c>
      <c r="F36" s="8">
        <v>0.32432432432432434</v>
      </c>
      <c r="G36" s="8">
        <v>2.7027027027027029E-2</v>
      </c>
      <c r="H36" s="8">
        <v>0.61179729729729726</v>
      </c>
      <c r="I36" s="8">
        <v>0.32972972972972975</v>
      </c>
      <c r="J36" s="8">
        <v>0.23167567567567571</v>
      </c>
      <c r="K36" s="8">
        <v>0.29279189189189186</v>
      </c>
      <c r="L36" s="8">
        <f>IFERROR(ROUND(AVERAGE(H36:K36),3),"")</f>
        <v>0.36599999999999999</v>
      </c>
    </row>
    <row r="37" spans="1:12" x14ac:dyDescent="0.25">
      <c r="A37" s="7" t="s">
        <v>13</v>
      </c>
      <c r="B37" s="16">
        <v>2025</v>
      </c>
      <c r="C37" s="7" t="s">
        <v>11</v>
      </c>
      <c r="D37" s="7" t="s">
        <v>35</v>
      </c>
      <c r="E37" s="8">
        <v>0.63157894736842102</v>
      </c>
      <c r="F37" s="8">
        <v>0.31578947368421051</v>
      </c>
      <c r="G37" s="8">
        <v>5.2631578947368418E-2</v>
      </c>
      <c r="H37" s="8">
        <v>0.60287368421052634</v>
      </c>
      <c r="I37" s="8">
        <v>0.30394736842105263</v>
      </c>
      <c r="J37" s="8">
        <v>0.3345921052631578</v>
      </c>
      <c r="K37" s="8">
        <v>0.26754473684210522</v>
      </c>
      <c r="L37" s="8">
        <f t="shared" ref="L37:L69" si="2">IFERROR(ROUND(AVERAGE(H37:K37),3),"")</f>
        <v>0.377</v>
      </c>
    </row>
    <row r="38" spans="1:12" x14ac:dyDescent="0.25">
      <c r="A38" s="7" t="s">
        <v>14</v>
      </c>
      <c r="B38" s="16">
        <v>2025</v>
      </c>
      <c r="C38" s="7" t="s">
        <v>11</v>
      </c>
      <c r="D38" s="7" t="s">
        <v>35</v>
      </c>
      <c r="E38" s="8">
        <v>0.63414634146341464</v>
      </c>
      <c r="F38" s="8">
        <v>0.36585365853658536</v>
      </c>
      <c r="G38" s="8">
        <v>0</v>
      </c>
      <c r="H38" s="8">
        <v>0.64746097560975624</v>
      </c>
      <c r="I38" s="8">
        <v>0.22926829268292681</v>
      </c>
      <c r="J38" s="8">
        <v>0.24565853658536582</v>
      </c>
      <c r="K38" s="8">
        <v>0.2601731707317072</v>
      </c>
      <c r="L38" s="8">
        <f t="shared" si="2"/>
        <v>0.34599999999999997</v>
      </c>
    </row>
    <row r="39" spans="1:12" x14ac:dyDescent="0.25">
      <c r="A39" s="7" t="s">
        <v>15</v>
      </c>
      <c r="B39" s="16">
        <v>2025</v>
      </c>
      <c r="C39" s="7" t="s">
        <v>11</v>
      </c>
      <c r="D39" s="7" t="s">
        <v>35</v>
      </c>
      <c r="E39" s="8">
        <v>0.95121951219512191</v>
      </c>
      <c r="F39" s="8">
        <v>4.878048780487805E-2</v>
      </c>
      <c r="G39" s="8">
        <v>0</v>
      </c>
      <c r="H39" s="8">
        <v>0.38801951219512182</v>
      </c>
      <c r="I39" s="8">
        <v>0.22682926829268293</v>
      </c>
      <c r="J39" s="8">
        <v>0.14112926829268294</v>
      </c>
      <c r="K39" s="8">
        <v>0.22358292682926828</v>
      </c>
      <c r="L39" s="8">
        <f t="shared" si="2"/>
        <v>0.245</v>
      </c>
    </row>
    <row r="40" spans="1:12" x14ac:dyDescent="0.25">
      <c r="A40" s="7" t="s">
        <v>16</v>
      </c>
      <c r="B40" s="16">
        <v>2025</v>
      </c>
      <c r="C40" s="7" t="s">
        <v>11</v>
      </c>
      <c r="D40" s="7" t="s">
        <v>35</v>
      </c>
      <c r="E40" s="8">
        <v>0.88888888888888884</v>
      </c>
      <c r="F40" s="8">
        <v>0.1111111111111111</v>
      </c>
      <c r="G40" s="8">
        <v>0</v>
      </c>
      <c r="H40" s="8">
        <v>0.32322222222222213</v>
      </c>
      <c r="I40" s="8">
        <v>0.34444444444444444</v>
      </c>
      <c r="J40" s="8">
        <v>0.15476666666666666</v>
      </c>
      <c r="K40" s="8">
        <v>0.32870277777777773</v>
      </c>
      <c r="L40" s="8">
        <f t="shared" si="2"/>
        <v>0.28799999999999998</v>
      </c>
    </row>
    <row r="41" spans="1:12" x14ac:dyDescent="0.25">
      <c r="A41" s="7" t="s">
        <v>17</v>
      </c>
      <c r="B41" s="16">
        <v>2025</v>
      </c>
      <c r="C41" s="7" t="s">
        <v>11</v>
      </c>
      <c r="D41" s="7" t="s">
        <v>35</v>
      </c>
      <c r="E41" s="8">
        <v>0.9</v>
      </c>
      <c r="F41" s="8">
        <v>0.1</v>
      </c>
      <c r="G41" s="8">
        <v>0</v>
      </c>
      <c r="H41" s="8">
        <v>0.37953250000000005</v>
      </c>
      <c r="I41" s="8">
        <v>0.20250000000000001</v>
      </c>
      <c r="J41" s="8">
        <v>0.1553725</v>
      </c>
      <c r="K41" s="8">
        <v>0.2916725</v>
      </c>
      <c r="L41" s="8">
        <f t="shared" si="2"/>
        <v>0.25700000000000001</v>
      </c>
    </row>
    <row r="42" spans="1:12" x14ac:dyDescent="0.25">
      <c r="A42" s="7" t="s">
        <v>18</v>
      </c>
      <c r="B42" s="16">
        <v>2025</v>
      </c>
      <c r="C42" s="7" t="s">
        <v>11</v>
      </c>
      <c r="D42" s="7" t="s">
        <v>35</v>
      </c>
      <c r="E42" s="8">
        <v>0.91428571428571426</v>
      </c>
      <c r="F42" s="8">
        <v>8.5714285714285715E-2</v>
      </c>
      <c r="G42" s="8">
        <v>0</v>
      </c>
      <c r="H42" s="8">
        <v>0.2908885714285715</v>
      </c>
      <c r="I42" s="8">
        <v>0.36571428571428571</v>
      </c>
      <c r="J42" s="8">
        <v>0.14899714285714286</v>
      </c>
      <c r="K42" s="8">
        <v>0.26666857142857142</v>
      </c>
      <c r="L42" s="8">
        <f t="shared" si="2"/>
        <v>0.26800000000000002</v>
      </c>
    </row>
    <row r="43" spans="1:12" x14ac:dyDescent="0.25">
      <c r="A43" s="7" t="s">
        <v>19</v>
      </c>
      <c r="B43" s="16">
        <v>2025</v>
      </c>
      <c r="C43" s="7" t="s">
        <v>11</v>
      </c>
      <c r="D43" s="7" t="s">
        <v>35</v>
      </c>
      <c r="E43" s="8">
        <v>0.97435897435897434</v>
      </c>
      <c r="F43" s="8">
        <v>2.564102564102564E-2</v>
      </c>
      <c r="G43" s="8">
        <v>0</v>
      </c>
      <c r="H43" s="8">
        <v>0.4265692307692307</v>
      </c>
      <c r="I43" s="8">
        <v>0.12564102564102564</v>
      </c>
      <c r="J43" s="8">
        <v>5.8615384615384604E-2</v>
      </c>
      <c r="K43" s="8">
        <v>8.1200000000000008E-2</v>
      </c>
      <c r="L43" s="8">
        <f t="shared" si="2"/>
        <v>0.17299999999999999</v>
      </c>
    </row>
    <row r="44" spans="1:12" x14ac:dyDescent="0.25">
      <c r="A44" s="7" t="s">
        <v>20</v>
      </c>
      <c r="B44" s="16">
        <v>2025</v>
      </c>
      <c r="C44" s="7" t="s">
        <v>21</v>
      </c>
      <c r="D44" s="7" t="s">
        <v>35</v>
      </c>
      <c r="E44" s="8">
        <v>0.65625</v>
      </c>
      <c r="F44" s="8">
        <v>0.34375</v>
      </c>
      <c r="G44" s="8">
        <v>0</v>
      </c>
      <c r="H44" s="8">
        <v>0.63542500000000013</v>
      </c>
      <c r="I44" s="8">
        <v>0.27865624999999999</v>
      </c>
      <c r="J44" s="8">
        <v>0.22916249999999999</v>
      </c>
      <c r="K44" s="8">
        <v>0.3</v>
      </c>
      <c r="L44" s="8">
        <f t="shared" si="2"/>
        <v>0.36099999999999999</v>
      </c>
    </row>
    <row r="45" spans="1:12" x14ac:dyDescent="0.25">
      <c r="A45" s="7" t="s">
        <v>22</v>
      </c>
      <c r="B45" s="16">
        <v>2025</v>
      </c>
      <c r="C45" s="7" t="s">
        <v>21</v>
      </c>
      <c r="D45" s="7" t="s">
        <v>35</v>
      </c>
      <c r="E45" s="8">
        <v>0.90322580645161288</v>
      </c>
      <c r="F45" s="8">
        <v>9.6774193548387094E-2</v>
      </c>
      <c r="G45" s="8">
        <v>0</v>
      </c>
      <c r="H45" s="8">
        <v>0.60751935483870956</v>
      </c>
      <c r="I45" s="8">
        <v>0.21908709677419355</v>
      </c>
      <c r="J45" s="8">
        <v>0.15054838709677423</v>
      </c>
      <c r="K45" s="8">
        <v>0.2</v>
      </c>
      <c r="L45" s="8">
        <f t="shared" si="2"/>
        <v>0.29399999999999998</v>
      </c>
    </row>
    <row r="46" spans="1:12" x14ac:dyDescent="0.25">
      <c r="A46" s="7" t="s">
        <v>23</v>
      </c>
      <c r="B46" s="16">
        <v>2025</v>
      </c>
      <c r="C46" s="7" t="s">
        <v>21</v>
      </c>
      <c r="D46" s="7" t="s">
        <v>35</v>
      </c>
      <c r="E46" s="8">
        <v>0.84</v>
      </c>
      <c r="F46" s="8">
        <v>0.16</v>
      </c>
      <c r="G46" s="8">
        <v>0</v>
      </c>
      <c r="H46" s="8">
        <v>0.37</v>
      </c>
      <c r="I46" s="8">
        <v>0.35499999999999998</v>
      </c>
      <c r="J46" s="8">
        <v>0.18667600000000004</v>
      </c>
      <c r="K46" s="8">
        <v>0.38400000000000001</v>
      </c>
      <c r="L46" s="8">
        <f t="shared" si="2"/>
        <v>0.32400000000000001</v>
      </c>
    </row>
    <row r="47" spans="1:12" x14ac:dyDescent="0.25">
      <c r="A47" s="7" t="s">
        <v>24</v>
      </c>
      <c r="B47" s="16">
        <v>2025</v>
      </c>
      <c r="C47" s="7" t="s">
        <v>21</v>
      </c>
      <c r="D47" s="7" t="s">
        <v>35</v>
      </c>
      <c r="E47" s="8">
        <v>0.86206896551724133</v>
      </c>
      <c r="F47" s="8">
        <v>0.13793103448275862</v>
      </c>
      <c r="G47" s="8">
        <v>0</v>
      </c>
      <c r="H47" s="8">
        <v>0.59482758620689657</v>
      </c>
      <c r="I47" s="8">
        <v>0.21263793103448284</v>
      </c>
      <c r="J47" s="8">
        <v>0.17241724137931033</v>
      </c>
      <c r="K47" s="8">
        <v>0.19310344827586207</v>
      </c>
      <c r="L47" s="8">
        <f t="shared" si="2"/>
        <v>0.29299999999999998</v>
      </c>
    </row>
    <row r="48" spans="1:12" x14ac:dyDescent="0.25">
      <c r="A48" s="7" t="s">
        <v>25</v>
      </c>
      <c r="B48" s="16">
        <v>2025</v>
      </c>
      <c r="C48" s="7" t="s">
        <v>21</v>
      </c>
      <c r="D48" s="7" t="s">
        <v>35</v>
      </c>
      <c r="E48" s="8">
        <v>1</v>
      </c>
      <c r="F48" s="8">
        <v>0</v>
      </c>
      <c r="G48" s="8">
        <v>0</v>
      </c>
      <c r="H48" s="8">
        <v>0.32575454545454541</v>
      </c>
      <c r="I48" s="8">
        <v>0.29734090909090916</v>
      </c>
      <c r="J48" s="8">
        <v>0.1969727272727273</v>
      </c>
      <c r="K48" s="8">
        <v>0.31818181818181818</v>
      </c>
      <c r="L48" s="8">
        <f t="shared" si="2"/>
        <v>0.28499999999999998</v>
      </c>
    </row>
    <row r="49" spans="1:12" x14ac:dyDescent="0.25">
      <c r="A49" s="7" t="s">
        <v>26</v>
      </c>
      <c r="B49" s="16">
        <v>2025</v>
      </c>
      <c r="C49" s="7" t="s">
        <v>21</v>
      </c>
      <c r="D49" s="7" t="s">
        <v>35</v>
      </c>
      <c r="E49" s="8">
        <v>0.81818181818181823</v>
      </c>
      <c r="F49" s="8">
        <v>0.18181818181818182</v>
      </c>
      <c r="G49" s="8">
        <v>0</v>
      </c>
      <c r="H49" s="8">
        <v>0.62121818181818189</v>
      </c>
      <c r="I49" s="8">
        <v>0.20454545454545453</v>
      </c>
      <c r="J49" s="8">
        <v>0.18686969696969696</v>
      </c>
      <c r="K49" s="8">
        <v>0.34545454545454546</v>
      </c>
      <c r="L49" s="8">
        <f t="shared" si="2"/>
        <v>0.34</v>
      </c>
    </row>
    <row r="50" spans="1:12" x14ac:dyDescent="0.25">
      <c r="A50" s="7" t="s">
        <v>27</v>
      </c>
      <c r="B50" s="16">
        <v>2025</v>
      </c>
      <c r="C50" s="7" t="s">
        <v>21</v>
      </c>
      <c r="D50" s="7" t="s">
        <v>35</v>
      </c>
      <c r="E50" s="8">
        <v>0.68965517241379315</v>
      </c>
      <c r="F50" s="8">
        <v>0.31034482758620691</v>
      </c>
      <c r="G50" s="8">
        <v>0</v>
      </c>
      <c r="H50" s="8">
        <v>0.73850344827586201</v>
      </c>
      <c r="I50" s="8">
        <v>0.24425517241379302</v>
      </c>
      <c r="J50" s="8">
        <v>0.22413793103448282</v>
      </c>
      <c r="K50" s="8">
        <v>0.28275862068965518</v>
      </c>
      <c r="L50" s="8">
        <f t="shared" si="2"/>
        <v>0.372</v>
      </c>
    </row>
    <row r="51" spans="1:12" x14ac:dyDescent="0.25">
      <c r="A51" s="7" t="s">
        <v>10</v>
      </c>
      <c r="B51" s="16">
        <v>2025</v>
      </c>
      <c r="C51" s="7" t="s">
        <v>11</v>
      </c>
      <c r="D51" s="7" t="s">
        <v>36</v>
      </c>
      <c r="E51" s="8">
        <v>0.33333333333333331</v>
      </c>
      <c r="F51" s="8">
        <v>0.63636363636363635</v>
      </c>
      <c r="G51" s="8">
        <v>3.0303030303030304E-2</v>
      </c>
      <c r="H51" s="8">
        <v>0.69697878787878775</v>
      </c>
      <c r="I51" s="8">
        <v>0.45757575757575758</v>
      </c>
      <c r="J51" s="8">
        <v>0.32901515151515154</v>
      </c>
      <c r="K51" s="8">
        <v>0.36363939393939404</v>
      </c>
      <c r="L51" s="8">
        <f t="shared" si="2"/>
        <v>0.46200000000000002</v>
      </c>
    </row>
    <row r="52" spans="1:12" x14ac:dyDescent="0.25">
      <c r="A52" s="7" t="s">
        <v>13</v>
      </c>
      <c r="B52" s="16">
        <v>2025</v>
      </c>
      <c r="C52" s="7" t="s">
        <v>11</v>
      </c>
      <c r="D52" s="7" t="s">
        <v>36</v>
      </c>
      <c r="E52" s="8">
        <v>0.56756756756756754</v>
      </c>
      <c r="F52" s="8">
        <v>0.3783783783783784</v>
      </c>
      <c r="G52" s="8">
        <v>5.4054054054054057E-2</v>
      </c>
      <c r="H52" s="8">
        <v>0.50613783783783783</v>
      </c>
      <c r="I52" s="8">
        <v>0.37027027027027026</v>
      </c>
      <c r="J52" s="8">
        <v>0.38224324324324316</v>
      </c>
      <c r="K52" s="8">
        <v>0.41891351351351347</v>
      </c>
      <c r="L52" s="8">
        <f t="shared" si="2"/>
        <v>0.41899999999999998</v>
      </c>
    </row>
    <row r="53" spans="1:12" x14ac:dyDescent="0.25">
      <c r="A53" s="7" t="s">
        <v>14</v>
      </c>
      <c r="B53" s="16">
        <v>2025</v>
      </c>
      <c r="C53" s="7" t="s">
        <v>11</v>
      </c>
      <c r="D53" s="7" t="s">
        <v>36</v>
      </c>
      <c r="E53" s="8">
        <v>0.63157894736842102</v>
      </c>
      <c r="F53" s="8">
        <v>0.31578947368421051</v>
      </c>
      <c r="G53" s="8">
        <v>5.2631578947368418E-2</v>
      </c>
      <c r="H53" s="8">
        <v>0.54544473684210515</v>
      </c>
      <c r="I53" s="8">
        <v>0.34342105263157896</v>
      </c>
      <c r="J53" s="8">
        <v>0.34211578947368421</v>
      </c>
      <c r="K53" s="8">
        <v>0.38157368421052629</v>
      </c>
      <c r="L53" s="8">
        <f t="shared" si="2"/>
        <v>0.40300000000000002</v>
      </c>
    </row>
    <row r="54" spans="1:12" x14ac:dyDescent="0.25">
      <c r="A54" s="7" t="s">
        <v>15</v>
      </c>
      <c r="B54" s="16">
        <v>2025</v>
      </c>
      <c r="C54" s="7" t="s">
        <v>11</v>
      </c>
      <c r="D54" s="7" t="s">
        <v>36</v>
      </c>
      <c r="E54" s="8">
        <v>0.44736842105263158</v>
      </c>
      <c r="F54" s="8">
        <v>0.55263157894736847</v>
      </c>
      <c r="G54" s="8">
        <v>0</v>
      </c>
      <c r="H54" s="8">
        <v>0.51197105263157894</v>
      </c>
      <c r="I54" s="8">
        <v>0.46842105263157896</v>
      </c>
      <c r="J54" s="8">
        <v>0.35338947368421048</v>
      </c>
      <c r="K54" s="8">
        <v>0.37280263157894744</v>
      </c>
      <c r="L54" s="8">
        <f t="shared" si="2"/>
        <v>0.42699999999999999</v>
      </c>
    </row>
    <row r="55" spans="1:12" x14ac:dyDescent="0.25">
      <c r="A55" s="7" t="s">
        <v>16</v>
      </c>
      <c r="B55" s="16">
        <v>2025</v>
      </c>
      <c r="C55" s="7" t="s">
        <v>11</v>
      </c>
      <c r="D55" s="7" t="s">
        <v>36</v>
      </c>
      <c r="E55" s="8">
        <v>0.82352941176470584</v>
      </c>
      <c r="F55" s="8">
        <v>0.17647058823529413</v>
      </c>
      <c r="G55" s="8">
        <v>0</v>
      </c>
      <c r="H55" s="8">
        <v>0.39302941176470585</v>
      </c>
      <c r="I55" s="8">
        <v>0.32205882352941173</v>
      </c>
      <c r="J55" s="8">
        <v>0.29412058823529419</v>
      </c>
      <c r="K55" s="8">
        <v>0.28431470588235291</v>
      </c>
      <c r="L55" s="8">
        <f t="shared" si="2"/>
        <v>0.32300000000000001</v>
      </c>
    </row>
    <row r="56" spans="1:12" x14ac:dyDescent="0.25">
      <c r="A56" s="7" t="s">
        <v>17</v>
      </c>
      <c r="B56" s="16">
        <v>2025</v>
      </c>
      <c r="C56" s="7" t="s">
        <v>11</v>
      </c>
      <c r="D56" s="7" t="s">
        <v>36</v>
      </c>
      <c r="E56" s="8">
        <v>0.68421052631578949</v>
      </c>
      <c r="F56" s="8">
        <v>0.26315789473684209</v>
      </c>
      <c r="G56" s="8">
        <v>5.2631578947368418E-2</v>
      </c>
      <c r="H56" s="8">
        <v>0.50957105263157898</v>
      </c>
      <c r="I56" s="8">
        <v>0.4</v>
      </c>
      <c r="J56" s="8">
        <v>0.28573157894736834</v>
      </c>
      <c r="K56" s="8">
        <v>0.35526578947368415</v>
      </c>
      <c r="L56" s="8">
        <f t="shared" si="2"/>
        <v>0.38800000000000001</v>
      </c>
    </row>
    <row r="57" spans="1:12" x14ac:dyDescent="0.25">
      <c r="A57" s="7" t="s">
        <v>18</v>
      </c>
      <c r="B57" s="16">
        <v>2025</v>
      </c>
      <c r="C57" s="7" t="s">
        <v>11</v>
      </c>
      <c r="D57" s="7" t="s">
        <v>36</v>
      </c>
      <c r="E57" s="8">
        <v>0.9</v>
      </c>
      <c r="F57" s="8">
        <v>0.1</v>
      </c>
      <c r="G57" s="8">
        <v>0</v>
      </c>
      <c r="H57" s="8">
        <v>0.30907666666666672</v>
      </c>
      <c r="I57" s="8">
        <v>0.24666666666666667</v>
      </c>
      <c r="J57" s="8">
        <v>0.22381333333333334</v>
      </c>
      <c r="K57" s="8">
        <v>0.3111133333333333</v>
      </c>
      <c r="L57" s="8">
        <f t="shared" si="2"/>
        <v>0.27300000000000002</v>
      </c>
    </row>
    <row r="58" spans="1:12" x14ac:dyDescent="0.25">
      <c r="A58" s="7" t="s">
        <v>19</v>
      </c>
      <c r="B58" s="16">
        <v>2025</v>
      </c>
      <c r="C58" s="7" t="s">
        <v>11</v>
      </c>
      <c r="D58" s="7" t="s">
        <v>36</v>
      </c>
      <c r="E58" s="8">
        <v>0.86842105263157898</v>
      </c>
      <c r="F58" s="8">
        <v>0.13157894736842105</v>
      </c>
      <c r="G58" s="8">
        <v>0</v>
      </c>
      <c r="H58" s="8">
        <v>0.33730263157894741</v>
      </c>
      <c r="I58" s="8">
        <v>0.2868421052631579</v>
      </c>
      <c r="J58" s="8">
        <v>0.27444210526315793</v>
      </c>
      <c r="K58" s="8">
        <v>0.35964999999999991</v>
      </c>
      <c r="L58" s="8">
        <f t="shared" si="2"/>
        <v>0.315</v>
      </c>
    </row>
    <row r="59" spans="1:12" x14ac:dyDescent="0.25">
      <c r="A59" s="7" t="s">
        <v>20</v>
      </c>
      <c r="B59" s="16">
        <v>2025</v>
      </c>
      <c r="C59" s="7" t="s">
        <v>21</v>
      </c>
      <c r="D59" s="7" t="s">
        <v>36</v>
      </c>
      <c r="E59" s="8">
        <v>0.8571428571428571</v>
      </c>
      <c r="F59" s="8">
        <v>9.5238095238095233E-2</v>
      </c>
      <c r="G59" s="8">
        <v>4.7619047619047616E-2</v>
      </c>
      <c r="H59" s="8">
        <v>0.38889047619047618</v>
      </c>
      <c r="I59" s="8">
        <v>0.25596190476190478</v>
      </c>
      <c r="J59" s="8">
        <v>0.2698523809523809</v>
      </c>
      <c r="K59" s="8">
        <v>0.31428571428571428</v>
      </c>
      <c r="L59" s="8">
        <f t="shared" si="2"/>
        <v>0.307</v>
      </c>
    </row>
    <row r="60" spans="1:12" x14ac:dyDescent="0.25">
      <c r="A60" s="7" t="s">
        <v>22</v>
      </c>
      <c r="B60" s="16">
        <v>2025</v>
      </c>
      <c r="C60" s="7" t="s">
        <v>21</v>
      </c>
      <c r="D60" s="7" t="s">
        <v>36</v>
      </c>
      <c r="E60" s="8">
        <v>0.76190476190476186</v>
      </c>
      <c r="F60" s="8">
        <v>0.23809523809523808</v>
      </c>
      <c r="G60" s="8">
        <v>0</v>
      </c>
      <c r="H60" s="8">
        <v>0.39284761904761906</v>
      </c>
      <c r="I60" s="8">
        <v>0.26190000000000002</v>
      </c>
      <c r="J60" s="8">
        <v>0.26190476190476192</v>
      </c>
      <c r="K60" s="8">
        <v>0.32380952380952377</v>
      </c>
      <c r="L60" s="8">
        <f t="shared" si="2"/>
        <v>0.31</v>
      </c>
    </row>
    <row r="61" spans="1:12" x14ac:dyDescent="0.25">
      <c r="A61" s="7" t="s">
        <v>23</v>
      </c>
      <c r="B61" s="16">
        <v>2025</v>
      </c>
      <c r="C61" s="7" t="s">
        <v>21</v>
      </c>
      <c r="D61" s="7" t="s">
        <v>36</v>
      </c>
      <c r="E61" s="8">
        <v>1</v>
      </c>
      <c r="F61" s="8">
        <v>0</v>
      </c>
      <c r="G61" s="8">
        <v>0</v>
      </c>
      <c r="H61" s="8">
        <v>0.25</v>
      </c>
      <c r="I61" s="8">
        <v>0.20487500000000008</v>
      </c>
      <c r="J61" s="8">
        <v>0.24305416666666663</v>
      </c>
      <c r="K61" s="8">
        <v>0.3</v>
      </c>
      <c r="L61" s="8">
        <f t="shared" si="2"/>
        <v>0.249</v>
      </c>
    </row>
    <row r="62" spans="1:12" x14ac:dyDescent="0.25">
      <c r="A62" s="7" t="s">
        <v>24</v>
      </c>
      <c r="B62" s="16">
        <v>2025</v>
      </c>
      <c r="C62" s="7" t="s">
        <v>21</v>
      </c>
      <c r="D62" s="7" t="s">
        <v>36</v>
      </c>
      <c r="E62" s="8">
        <v>0.6</v>
      </c>
      <c r="F62" s="8">
        <v>0.4</v>
      </c>
      <c r="G62" s="8">
        <v>0</v>
      </c>
      <c r="H62" s="8">
        <v>0.47500500000000001</v>
      </c>
      <c r="I62" s="8">
        <v>0.37291500000000005</v>
      </c>
      <c r="J62" s="8">
        <v>0.266675</v>
      </c>
      <c r="K62" s="8">
        <v>0.36</v>
      </c>
      <c r="L62" s="8">
        <f t="shared" si="2"/>
        <v>0.36899999999999999</v>
      </c>
    </row>
    <row r="63" spans="1:12" x14ac:dyDescent="0.25">
      <c r="A63" s="7" t="s">
        <v>25</v>
      </c>
      <c r="B63" s="16">
        <v>2025</v>
      </c>
      <c r="C63" s="7" t="s">
        <v>21</v>
      </c>
      <c r="D63" s="7" t="s">
        <v>36</v>
      </c>
      <c r="E63" s="8">
        <v>0.96153846153846156</v>
      </c>
      <c r="F63" s="8">
        <v>3.8461538461538464E-2</v>
      </c>
      <c r="G63" s="8">
        <v>0</v>
      </c>
      <c r="H63" s="8">
        <v>0.31730384615384616</v>
      </c>
      <c r="I63" s="8">
        <v>0.25320384615384622</v>
      </c>
      <c r="J63" s="8">
        <v>0.25639999999999996</v>
      </c>
      <c r="K63" s="8">
        <v>0.34615384615384615</v>
      </c>
      <c r="L63" s="8">
        <f t="shared" si="2"/>
        <v>0.29299999999999998</v>
      </c>
    </row>
    <row r="64" spans="1:12" x14ac:dyDescent="0.25">
      <c r="A64" s="7" t="s">
        <v>26</v>
      </c>
      <c r="B64" s="16">
        <v>2025</v>
      </c>
      <c r="C64" s="7" t="s">
        <v>21</v>
      </c>
      <c r="D64" s="7" t="s">
        <v>36</v>
      </c>
      <c r="E64" s="8">
        <v>0.4</v>
      </c>
      <c r="F64" s="8">
        <v>0.6</v>
      </c>
      <c r="G64" s="8">
        <v>0</v>
      </c>
      <c r="H64" s="8">
        <v>0.61389000000000005</v>
      </c>
      <c r="I64" s="8">
        <v>0.40694333333333332</v>
      </c>
      <c r="J64" s="8">
        <v>0.27778666666666668</v>
      </c>
      <c r="K64" s="8">
        <v>0.39333333333333337</v>
      </c>
      <c r="L64" s="8">
        <f t="shared" si="2"/>
        <v>0.42299999999999999</v>
      </c>
    </row>
    <row r="65" spans="1:12" x14ac:dyDescent="0.25">
      <c r="A65" s="7" t="s">
        <v>27</v>
      </c>
      <c r="B65" s="16">
        <v>2025</v>
      </c>
      <c r="C65" s="7" t="s">
        <v>21</v>
      </c>
      <c r="D65" s="7" t="s">
        <v>36</v>
      </c>
      <c r="E65" s="8">
        <v>0.5</v>
      </c>
      <c r="F65" s="8">
        <v>0.5</v>
      </c>
      <c r="G65" s="8">
        <v>0</v>
      </c>
      <c r="H65" s="8">
        <v>0.54166999999999998</v>
      </c>
      <c r="I65" s="8">
        <v>0.38472333333333331</v>
      </c>
      <c r="J65" s="8">
        <v>0.37221666666666664</v>
      </c>
      <c r="K65" s="8">
        <v>0.32</v>
      </c>
      <c r="L65" s="8">
        <f t="shared" si="2"/>
        <v>0.40500000000000003</v>
      </c>
    </row>
    <row r="66" spans="1:12" x14ac:dyDescent="0.25">
      <c r="A66" s="7" t="s">
        <v>28</v>
      </c>
      <c r="B66" s="16">
        <v>2025</v>
      </c>
      <c r="C66" s="7" t="s">
        <v>11</v>
      </c>
      <c r="D66" s="7" t="s">
        <v>35</v>
      </c>
      <c r="E66" s="8">
        <f t="shared" ref="E66:K69" si="3">IFERROR(AVERAGEIFS(E$2:E$31,$C$2:$C$31,$C66,$D$2:$D$31,$D66),"")</f>
        <v>0.81789087840114805</v>
      </c>
      <c r="F66" s="8">
        <f t="shared" si="3"/>
        <v>0.17215179585205259</v>
      </c>
      <c r="G66" s="8">
        <f t="shared" si="3"/>
        <v>9.9573257467994308E-3</v>
      </c>
      <c r="H66" s="8">
        <f t="shared" si="3"/>
        <v>0.4587954992165908</v>
      </c>
      <c r="I66" s="8">
        <f t="shared" si="3"/>
        <v>0.26600930186576849</v>
      </c>
      <c r="J66" s="8">
        <f t="shared" si="3"/>
        <v>0.18385090999450951</v>
      </c>
      <c r="K66" s="8">
        <f t="shared" si="3"/>
        <v>0.25154207193766526</v>
      </c>
      <c r="L66" s="8">
        <f t="shared" si="2"/>
        <v>0.28999999999999998</v>
      </c>
    </row>
    <row r="67" spans="1:12" x14ac:dyDescent="0.25">
      <c r="A67" s="7" t="s">
        <v>29</v>
      </c>
      <c r="B67" s="16">
        <v>2025</v>
      </c>
      <c r="C67" s="7" t="s">
        <v>21</v>
      </c>
      <c r="D67" s="7" t="s">
        <v>35</v>
      </c>
      <c r="E67" s="8">
        <f t="shared" si="3"/>
        <v>0.82419739465206654</v>
      </c>
      <c r="F67" s="8">
        <f t="shared" si="3"/>
        <v>0.17580260534793352</v>
      </c>
      <c r="G67" s="8">
        <f t="shared" si="3"/>
        <v>0</v>
      </c>
      <c r="H67" s="8">
        <f t="shared" si="3"/>
        <v>0.55617830237059929</v>
      </c>
      <c r="I67" s="8">
        <f t="shared" si="3"/>
        <v>0.25878897340840473</v>
      </c>
      <c r="J67" s="8">
        <f t="shared" si="3"/>
        <v>0.19239778339328456</v>
      </c>
      <c r="K67" s="8">
        <f t="shared" si="3"/>
        <v>0.2890712046574116</v>
      </c>
      <c r="L67" s="8">
        <f t="shared" si="2"/>
        <v>0.32400000000000001</v>
      </c>
    </row>
    <row r="68" spans="1:12" x14ac:dyDescent="0.25">
      <c r="A68" s="7" t="s">
        <v>28</v>
      </c>
      <c r="B68" s="16">
        <v>2025</v>
      </c>
      <c r="C68" s="7" t="s">
        <v>11</v>
      </c>
      <c r="D68" s="7" t="s">
        <v>36</v>
      </c>
      <c r="E68" s="8">
        <f t="shared" si="3"/>
        <v>0.65700115750425347</v>
      </c>
      <c r="F68" s="8">
        <f t="shared" si="3"/>
        <v>0.31929631221426891</v>
      </c>
      <c r="G68" s="8">
        <f t="shared" si="3"/>
        <v>2.370253028147765E-2</v>
      </c>
      <c r="H68" s="8">
        <f t="shared" si="3"/>
        <v>0.47618902222902609</v>
      </c>
      <c r="I68" s="8">
        <f t="shared" si="3"/>
        <v>0.36190696607105272</v>
      </c>
      <c r="J68" s="8">
        <f t="shared" si="3"/>
        <v>0.31060890796193036</v>
      </c>
      <c r="K68" s="8">
        <f t="shared" si="3"/>
        <v>0.35590913149146891</v>
      </c>
      <c r="L68" s="8">
        <f t="shared" si="2"/>
        <v>0.376</v>
      </c>
    </row>
    <row r="69" spans="1:12" x14ac:dyDescent="0.25">
      <c r="A69" s="7" t="s">
        <v>29</v>
      </c>
      <c r="B69" s="16">
        <v>2025</v>
      </c>
      <c r="C69" s="7" t="s">
        <v>21</v>
      </c>
      <c r="D69" s="7" t="s">
        <v>36</v>
      </c>
      <c r="E69" s="8">
        <f t="shared" si="3"/>
        <v>0.72579801151229728</v>
      </c>
      <c r="F69" s="8">
        <f t="shared" si="3"/>
        <v>0.26739926739926739</v>
      </c>
      <c r="G69" s="8">
        <f t="shared" si="3"/>
        <v>6.8027210884353739E-3</v>
      </c>
      <c r="H69" s="8">
        <f t="shared" si="3"/>
        <v>0.42565813448456308</v>
      </c>
      <c r="I69" s="8">
        <f t="shared" si="3"/>
        <v>0.30578891679748832</v>
      </c>
      <c r="J69" s="8">
        <f t="shared" si="3"/>
        <v>0.27826994897959179</v>
      </c>
      <c r="K69" s="8">
        <f t="shared" si="3"/>
        <v>0.3367974882260597</v>
      </c>
      <c r="L69" s="8">
        <f t="shared" si="2"/>
        <v>0.33700000000000002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K69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14.5703125" style="9" bestFit="1" customWidth="1"/>
    <col min="2" max="2" width="14.5703125" style="9" customWidth="1"/>
    <col min="3" max="3" width="19.42578125" style="9" bestFit="1" customWidth="1"/>
    <col min="4" max="4" width="17.7109375" style="9" bestFit="1" customWidth="1"/>
    <col min="5" max="7" width="12.140625" style="10" bestFit="1" customWidth="1"/>
    <col min="8" max="8" width="12.85546875" style="10" bestFit="1" customWidth="1"/>
    <col min="9" max="9" width="18.140625" style="10" bestFit="1" customWidth="1"/>
    <col min="10" max="10" width="16" style="10" bestFit="1" customWidth="1"/>
    <col min="11" max="11" width="13.5703125" style="10" bestFit="1" customWidth="1"/>
  </cols>
  <sheetData>
    <row r="1" spans="1:11" ht="18.75" customHeight="1" x14ac:dyDescent="0.25">
      <c r="A1" s="18" t="s">
        <v>0</v>
      </c>
      <c r="B1" s="17" t="s">
        <v>37</v>
      </c>
      <c r="C1" s="19" t="s">
        <v>1</v>
      </c>
      <c r="D1" s="20" t="s">
        <v>2</v>
      </c>
      <c r="E1" s="21" t="s">
        <v>3</v>
      </c>
      <c r="F1" s="22" t="s">
        <v>4</v>
      </c>
      <c r="G1" s="21" t="s">
        <v>5</v>
      </c>
      <c r="H1" s="23" t="s">
        <v>6</v>
      </c>
      <c r="I1" s="23" t="s">
        <v>7</v>
      </c>
      <c r="J1" s="23" t="s">
        <v>8</v>
      </c>
      <c r="K1" s="23" t="s">
        <v>9</v>
      </c>
    </row>
    <row r="2" spans="1:11" ht="18.75" customHeight="1" x14ac:dyDescent="0.25">
      <c r="A2" s="7" t="s">
        <v>10</v>
      </c>
      <c r="B2" s="16">
        <v>2024</v>
      </c>
      <c r="C2" s="7" t="s">
        <v>11</v>
      </c>
      <c r="D2" s="7" t="s">
        <v>35</v>
      </c>
      <c r="E2" s="8">
        <v>0</v>
      </c>
      <c r="F2" s="8">
        <v>0.65517241379310343</v>
      </c>
      <c r="G2" s="8">
        <v>0.34482758620689657</v>
      </c>
      <c r="H2" s="8">
        <v>0.78448275862068972</v>
      </c>
      <c r="I2" s="8">
        <v>0.6699448275862071</v>
      </c>
      <c r="J2" s="8">
        <v>0.62068965517241381</v>
      </c>
      <c r="K2" s="8">
        <f>IFERROR(ROUND(AVERAGE(H2:J2),3),"")</f>
        <v>0.69199999999999995</v>
      </c>
    </row>
    <row r="3" spans="1:11" ht="18.75" customHeight="1" x14ac:dyDescent="0.25">
      <c r="A3" s="7" t="s">
        <v>13</v>
      </c>
      <c r="B3" s="16">
        <v>2024</v>
      </c>
      <c r="C3" s="7" t="s">
        <v>11</v>
      </c>
      <c r="D3" s="7" t="s">
        <v>35</v>
      </c>
      <c r="E3" s="8">
        <v>5.8823529411764705E-2</v>
      </c>
      <c r="F3" s="8">
        <v>0.67647058823529416</v>
      </c>
      <c r="G3" s="8">
        <v>0.26470588235294118</v>
      </c>
      <c r="H3" s="8">
        <v>0.81617647058823539</v>
      </c>
      <c r="I3" s="8">
        <v>0.67507352941176479</v>
      </c>
      <c r="J3" s="8">
        <v>0.65441176470588236</v>
      </c>
      <c r="K3" s="8">
        <f t="shared" ref="K3:K35" si="0">IFERROR(ROUND(AVERAGE(H3:J3),3),"")</f>
        <v>0.71499999999999997</v>
      </c>
    </row>
    <row r="4" spans="1:11" ht="18.75" customHeight="1" x14ac:dyDescent="0.25">
      <c r="A4" s="7" t="s">
        <v>14</v>
      </c>
      <c r="B4" s="16">
        <v>2024</v>
      </c>
      <c r="C4" s="7" t="s">
        <v>11</v>
      </c>
      <c r="D4" s="7" t="s">
        <v>35</v>
      </c>
      <c r="E4" s="8">
        <v>0.12820512820512819</v>
      </c>
      <c r="F4" s="8">
        <v>0.71794871794871795</v>
      </c>
      <c r="G4" s="8">
        <v>0.15384615384615385</v>
      </c>
      <c r="H4" s="8">
        <v>0.71794871794871795</v>
      </c>
      <c r="I4" s="8">
        <v>0.64345641025641043</v>
      </c>
      <c r="J4" s="8">
        <v>0.63461538461538458</v>
      </c>
      <c r="K4" s="8">
        <f t="shared" si="0"/>
        <v>0.66500000000000004</v>
      </c>
    </row>
    <row r="5" spans="1:11" ht="18.75" customHeight="1" x14ac:dyDescent="0.25">
      <c r="A5" s="7" t="s">
        <v>15</v>
      </c>
      <c r="B5" s="16">
        <v>2024</v>
      </c>
      <c r="C5" s="7" t="s">
        <v>11</v>
      </c>
      <c r="D5" s="7" t="s">
        <v>35</v>
      </c>
      <c r="E5" s="8">
        <v>6.25E-2</v>
      </c>
      <c r="F5" s="8">
        <v>0.8125</v>
      </c>
      <c r="G5" s="8">
        <v>0.125</v>
      </c>
      <c r="H5" s="8">
        <v>0.8046875</v>
      </c>
      <c r="I5" s="8">
        <v>0.65624062500000035</v>
      </c>
      <c r="J5" s="8">
        <v>0.5859375</v>
      </c>
      <c r="K5" s="8">
        <f t="shared" si="0"/>
        <v>0.68200000000000005</v>
      </c>
    </row>
    <row r="6" spans="1:11" ht="18.75" customHeight="1" x14ac:dyDescent="0.25">
      <c r="A6" s="7" t="s">
        <v>16</v>
      </c>
      <c r="B6" s="16">
        <v>2024</v>
      </c>
      <c r="C6" s="7" t="s">
        <v>11</v>
      </c>
      <c r="D6" s="7" t="s">
        <v>35</v>
      </c>
      <c r="E6" s="8">
        <v>8.3333333333333329E-2</v>
      </c>
      <c r="F6" s="8">
        <v>0.69444444444444442</v>
      </c>
      <c r="G6" s="8">
        <v>0.22222222222222221</v>
      </c>
      <c r="H6" s="8">
        <v>0.76388888888888884</v>
      </c>
      <c r="I6" s="8">
        <v>0.66666111111111126</v>
      </c>
      <c r="J6" s="8">
        <v>0.64444444444444438</v>
      </c>
      <c r="K6" s="8">
        <f t="shared" si="0"/>
        <v>0.69199999999999995</v>
      </c>
    </row>
    <row r="7" spans="1:11" ht="18.75" customHeight="1" x14ac:dyDescent="0.25">
      <c r="A7" s="7" t="s">
        <v>17</v>
      </c>
      <c r="B7" s="16">
        <v>2024</v>
      </c>
      <c r="C7" s="7" t="s">
        <v>11</v>
      </c>
      <c r="D7" s="7" t="s">
        <v>35</v>
      </c>
      <c r="E7" s="8">
        <v>0.26470588235294118</v>
      </c>
      <c r="F7" s="8">
        <v>0.58823529411764708</v>
      </c>
      <c r="G7" s="8">
        <v>0.14705882352941177</v>
      </c>
      <c r="H7" s="8">
        <v>0.69852941176470595</v>
      </c>
      <c r="I7" s="8">
        <v>0.58262941176470606</v>
      </c>
      <c r="J7" s="8">
        <v>0.48382352941176471</v>
      </c>
      <c r="K7" s="8">
        <f t="shared" si="0"/>
        <v>0.58799999999999997</v>
      </c>
    </row>
    <row r="8" spans="1:11" ht="18.75" customHeight="1" x14ac:dyDescent="0.25">
      <c r="A8" s="7" t="s">
        <v>18</v>
      </c>
      <c r="B8" s="16">
        <v>2024</v>
      </c>
      <c r="C8" s="7" t="s">
        <v>11</v>
      </c>
      <c r="D8" s="7" t="s">
        <v>35</v>
      </c>
      <c r="E8" s="8">
        <v>0.1</v>
      </c>
      <c r="F8" s="8">
        <v>0.83333333333333337</v>
      </c>
      <c r="G8" s="8">
        <v>6.6666666666666666E-2</v>
      </c>
      <c r="H8" s="8">
        <v>0.70833333333333326</v>
      </c>
      <c r="I8" s="8">
        <v>0.57777666666666694</v>
      </c>
      <c r="J8" s="8">
        <v>0.51666666666666661</v>
      </c>
      <c r="K8" s="8">
        <f t="shared" si="0"/>
        <v>0.60099999999999998</v>
      </c>
    </row>
    <row r="9" spans="1:11" ht="18.75" customHeight="1" x14ac:dyDescent="0.25">
      <c r="A9" s="7" t="s">
        <v>19</v>
      </c>
      <c r="B9" s="16">
        <v>2024</v>
      </c>
      <c r="C9" s="7" t="s">
        <v>11</v>
      </c>
      <c r="D9" s="7" t="s">
        <v>35</v>
      </c>
      <c r="E9" s="8">
        <v>0.18181818181818182</v>
      </c>
      <c r="F9" s="8">
        <v>0.72727272727272729</v>
      </c>
      <c r="G9" s="8">
        <v>9.0909090909090912E-2</v>
      </c>
      <c r="H9" s="8">
        <v>0.68939393939393934</v>
      </c>
      <c r="I9" s="8">
        <v>0.5483393939393939</v>
      </c>
      <c r="J9" s="8">
        <v>0.54545454545454541</v>
      </c>
      <c r="K9" s="8">
        <f t="shared" si="0"/>
        <v>0.59399999999999997</v>
      </c>
    </row>
    <row r="10" spans="1:11" ht="18.75" customHeight="1" x14ac:dyDescent="0.25">
      <c r="A10" s="7" t="s">
        <v>20</v>
      </c>
      <c r="B10" s="16">
        <v>2024</v>
      </c>
      <c r="C10" s="7" t="s">
        <v>21</v>
      </c>
      <c r="D10" s="7" t="s">
        <v>35</v>
      </c>
      <c r="E10" s="8">
        <v>0.24</v>
      </c>
      <c r="F10" s="8">
        <v>0.56000000000000005</v>
      </c>
      <c r="G10" s="8">
        <v>0.2</v>
      </c>
      <c r="H10" s="8">
        <v>0.69</v>
      </c>
      <c r="I10" s="8">
        <v>0.6</v>
      </c>
      <c r="J10" s="8">
        <v>0.57999999999999996</v>
      </c>
      <c r="K10" s="8">
        <f t="shared" si="0"/>
        <v>0.623</v>
      </c>
    </row>
    <row r="11" spans="1:11" ht="18.75" customHeight="1" x14ac:dyDescent="0.25">
      <c r="A11" s="7" t="s">
        <v>22</v>
      </c>
      <c r="B11" s="16">
        <v>2024</v>
      </c>
      <c r="C11" s="7" t="s">
        <v>21</v>
      </c>
      <c r="D11" s="7" t="s">
        <v>35</v>
      </c>
      <c r="E11" s="8">
        <v>0.10714285714285714</v>
      </c>
      <c r="F11" s="8">
        <v>0.75</v>
      </c>
      <c r="G11" s="8">
        <v>0.14285714285714285</v>
      </c>
      <c r="H11" s="8">
        <v>0.73</v>
      </c>
      <c r="I11" s="8">
        <v>0.61</v>
      </c>
      <c r="J11" s="8">
        <v>0.53</v>
      </c>
      <c r="K11" s="8">
        <f t="shared" si="0"/>
        <v>0.623</v>
      </c>
    </row>
    <row r="12" spans="1:11" ht="18.75" customHeight="1" x14ac:dyDescent="0.25">
      <c r="A12" s="7" t="s">
        <v>23</v>
      </c>
      <c r="B12" s="16">
        <v>2024</v>
      </c>
      <c r="C12" s="7" t="s">
        <v>21</v>
      </c>
      <c r="D12" s="7" t="s">
        <v>35</v>
      </c>
      <c r="E12" s="8">
        <v>0.16666666666666666</v>
      </c>
      <c r="F12" s="8">
        <v>0.83333333333333337</v>
      </c>
      <c r="G12" s="8">
        <v>0</v>
      </c>
      <c r="H12" s="8">
        <v>0.73</v>
      </c>
      <c r="I12" s="8">
        <v>0.56999999999999995</v>
      </c>
      <c r="J12" s="8">
        <v>0.44</v>
      </c>
      <c r="K12" s="8">
        <f t="shared" si="0"/>
        <v>0.57999999999999996</v>
      </c>
    </row>
    <row r="13" spans="1:11" ht="18.75" customHeight="1" x14ac:dyDescent="0.25">
      <c r="A13" s="7" t="s">
        <v>24</v>
      </c>
      <c r="B13" s="16">
        <v>2024</v>
      </c>
      <c r="C13" s="7" t="s">
        <v>21</v>
      </c>
      <c r="D13" s="7" t="s">
        <v>35</v>
      </c>
      <c r="E13" s="8">
        <v>0.22222222222222221</v>
      </c>
      <c r="F13" s="8">
        <v>0.7407407407407407</v>
      </c>
      <c r="G13" s="8">
        <v>3.7037037037037035E-2</v>
      </c>
      <c r="H13" s="8">
        <v>0.66</v>
      </c>
      <c r="I13" s="8">
        <v>0.55000000000000004</v>
      </c>
      <c r="J13" s="8">
        <v>0.47</v>
      </c>
      <c r="K13" s="8">
        <f t="shared" si="0"/>
        <v>0.56000000000000005</v>
      </c>
    </row>
    <row r="14" spans="1:11" ht="18.75" customHeight="1" x14ac:dyDescent="0.25">
      <c r="A14" s="7" t="s">
        <v>25</v>
      </c>
      <c r="B14" s="16">
        <v>2024</v>
      </c>
      <c r="C14" s="7" t="s">
        <v>21</v>
      </c>
      <c r="D14" s="7" t="s">
        <v>35</v>
      </c>
      <c r="E14" s="8">
        <v>0.12</v>
      </c>
      <c r="F14" s="8">
        <v>0.88</v>
      </c>
      <c r="G14" s="8">
        <v>0</v>
      </c>
      <c r="H14" s="8">
        <v>0.78</v>
      </c>
      <c r="I14" s="8">
        <v>0.57999999999999996</v>
      </c>
      <c r="J14" s="8">
        <v>0.44</v>
      </c>
      <c r="K14" s="8">
        <f t="shared" si="0"/>
        <v>0.6</v>
      </c>
    </row>
    <row r="15" spans="1:11" ht="18.75" customHeight="1" x14ac:dyDescent="0.25">
      <c r="A15" s="7" t="s">
        <v>26</v>
      </c>
      <c r="B15" s="16">
        <v>2024</v>
      </c>
      <c r="C15" s="7" t="s">
        <v>21</v>
      </c>
      <c r="D15" s="7" t="s">
        <v>35</v>
      </c>
      <c r="E15" s="8">
        <v>9.6774193548387094E-2</v>
      </c>
      <c r="F15" s="8">
        <v>0.61290322580645162</v>
      </c>
      <c r="G15" s="8">
        <v>0.29032258064516131</v>
      </c>
      <c r="H15" s="8">
        <v>0.82</v>
      </c>
      <c r="I15" s="8">
        <v>0.74</v>
      </c>
      <c r="J15" s="8">
        <v>0.64</v>
      </c>
      <c r="K15" s="8">
        <f t="shared" si="0"/>
        <v>0.73299999999999998</v>
      </c>
    </row>
    <row r="16" spans="1:11" ht="18.75" customHeight="1" x14ac:dyDescent="0.25">
      <c r="A16" s="7" t="s">
        <v>27</v>
      </c>
      <c r="B16" s="16">
        <v>2024</v>
      </c>
      <c r="C16" s="7" t="s">
        <v>21</v>
      </c>
      <c r="D16" s="7" t="s">
        <v>35</v>
      </c>
      <c r="E16" s="8">
        <v>6.4516129032258063E-2</v>
      </c>
      <c r="F16" s="8">
        <v>0.64516129032258063</v>
      </c>
      <c r="G16" s="8">
        <v>0.29032258064516131</v>
      </c>
      <c r="H16" s="8">
        <v>0.89</v>
      </c>
      <c r="I16" s="8">
        <v>0.73</v>
      </c>
      <c r="J16" s="8">
        <v>0.68</v>
      </c>
      <c r="K16" s="8">
        <f t="shared" si="0"/>
        <v>0.76700000000000002</v>
      </c>
    </row>
    <row r="17" spans="1:11" ht="18.75" customHeight="1" x14ac:dyDescent="0.25">
      <c r="A17" s="7" t="s">
        <v>10</v>
      </c>
      <c r="B17" s="16">
        <v>2024</v>
      </c>
      <c r="C17" s="7" t="s">
        <v>11</v>
      </c>
      <c r="D17" s="7" t="s">
        <v>36</v>
      </c>
      <c r="E17" s="8">
        <v>0.10344827586206896</v>
      </c>
      <c r="F17" s="8">
        <v>0.75862068965517238</v>
      </c>
      <c r="G17" s="8">
        <v>0.13793103448275862</v>
      </c>
      <c r="H17" s="8">
        <v>0.9568965517241379</v>
      </c>
      <c r="I17" s="8">
        <v>0.61083448275862084</v>
      </c>
      <c r="J17" s="8">
        <v>0.52586206896551724</v>
      </c>
      <c r="K17" s="8">
        <f t="shared" si="0"/>
        <v>0.69799999999999995</v>
      </c>
    </row>
    <row r="18" spans="1:11" ht="18.75" customHeight="1" x14ac:dyDescent="0.25">
      <c r="A18" s="7" t="s">
        <v>13</v>
      </c>
      <c r="B18" s="16">
        <v>2024</v>
      </c>
      <c r="C18" s="7" t="s">
        <v>11</v>
      </c>
      <c r="D18" s="7" t="s">
        <v>36</v>
      </c>
      <c r="E18" s="8">
        <v>0.1388888888888889</v>
      </c>
      <c r="F18" s="8">
        <v>0.63888888888888884</v>
      </c>
      <c r="G18" s="8">
        <v>0.22222222222222221</v>
      </c>
      <c r="H18" s="8">
        <v>0.89583333333333326</v>
      </c>
      <c r="I18" s="8">
        <v>0.65872500000000012</v>
      </c>
      <c r="J18" s="8">
        <v>0.54583333333333339</v>
      </c>
      <c r="K18" s="8">
        <f t="shared" si="0"/>
        <v>0.7</v>
      </c>
    </row>
    <row r="19" spans="1:11" ht="18.75" customHeight="1" x14ac:dyDescent="0.25">
      <c r="A19" s="7" t="s">
        <v>14</v>
      </c>
      <c r="B19" s="16">
        <v>2024</v>
      </c>
      <c r="C19" s="7" t="s">
        <v>11</v>
      </c>
      <c r="D19" s="7" t="s">
        <v>36</v>
      </c>
      <c r="E19" s="8">
        <v>0.13513513513513514</v>
      </c>
      <c r="F19" s="8">
        <v>0.6216216216216216</v>
      </c>
      <c r="G19" s="8">
        <v>0.24324324324324326</v>
      </c>
      <c r="H19" s="8">
        <v>0.93918918918918914</v>
      </c>
      <c r="I19" s="8">
        <v>0.6241945945945947</v>
      </c>
      <c r="J19" s="8">
        <v>0.54594594594594592</v>
      </c>
      <c r="K19" s="8">
        <f t="shared" si="0"/>
        <v>0.70299999999999996</v>
      </c>
    </row>
    <row r="20" spans="1:11" ht="18.75" customHeight="1" x14ac:dyDescent="0.25">
      <c r="A20" s="7" t="s">
        <v>15</v>
      </c>
      <c r="B20" s="16">
        <v>2024</v>
      </c>
      <c r="C20" s="7" t="s">
        <v>11</v>
      </c>
      <c r="D20" s="7" t="s">
        <v>36</v>
      </c>
      <c r="E20" s="8">
        <v>8.8235294117647065E-2</v>
      </c>
      <c r="F20" s="8">
        <v>0.8529411764705882</v>
      </c>
      <c r="G20" s="8">
        <v>5.8823529411764705E-2</v>
      </c>
      <c r="H20" s="8">
        <v>0.92647058823529405</v>
      </c>
      <c r="I20" s="8">
        <v>0.59944117647058826</v>
      </c>
      <c r="J20" s="8">
        <v>0.50882352941176467</v>
      </c>
      <c r="K20" s="8">
        <f t="shared" si="0"/>
        <v>0.67800000000000005</v>
      </c>
    </row>
    <row r="21" spans="1:11" ht="18.75" customHeight="1" x14ac:dyDescent="0.25">
      <c r="A21" s="7" t="s">
        <v>16</v>
      </c>
      <c r="B21" s="16">
        <v>2024</v>
      </c>
      <c r="C21" s="7" t="s">
        <v>11</v>
      </c>
      <c r="D21" s="7" t="s">
        <v>36</v>
      </c>
      <c r="E21" s="8">
        <v>0.15151515151515152</v>
      </c>
      <c r="F21" s="8">
        <v>0.75757575757575757</v>
      </c>
      <c r="G21" s="8">
        <v>9.0909090909090912E-2</v>
      </c>
      <c r="H21" s="8">
        <v>0.75757575757575746</v>
      </c>
      <c r="I21" s="8">
        <v>0.60028181818181825</v>
      </c>
      <c r="J21" s="8">
        <v>0.43939393939393939</v>
      </c>
      <c r="K21" s="8">
        <f t="shared" si="0"/>
        <v>0.59899999999999998</v>
      </c>
    </row>
    <row r="22" spans="1:11" ht="18.75" customHeight="1" x14ac:dyDescent="0.25">
      <c r="A22" s="7" t="s">
        <v>17</v>
      </c>
      <c r="B22" s="16">
        <v>2024</v>
      </c>
      <c r="C22" s="7" t="s">
        <v>11</v>
      </c>
      <c r="D22" s="7" t="s">
        <v>36</v>
      </c>
      <c r="E22" s="8">
        <v>0.18421052631578946</v>
      </c>
      <c r="F22" s="8">
        <v>0.57894736842105265</v>
      </c>
      <c r="G22" s="8">
        <v>0.23684210526315788</v>
      </c>
      <c r="H22" s="8">
        <v>0.88815789473684204</v>
      </c>
      <c r="I22" s="8">
        <v>0.61778157894736863</v>
      </c>
      <c r="J22" s="8">
        <v>0.54605263157894735</v>
      </c>
      <c r="K22" s="8">
        <f t="shared" si="0"/>
        <v>0.68400000000000005</v>
      </c>
    </row>
    <row r="23" spans="1:11" ht="18.75" customHeight="1" x14ac:dyDescent="0.25">
      <c r="A23" s="7" t="s">
        <v>18</v>
      </c>
      <c r="B23" s="16">
        <v>2024</v>
      </c>
      <c r="C23" s="7" t="s">
        <v>11</v>
      </c>
      <c r="D23" s="7" t="s">
        <v>36</v>
      </c>
      <c r="E23" s="8">
        <v>0.34482758620689657</v>
      </c>
      <c r="F23" s="8">
        <v>0.58620689655172409</v>
      </c>
      <c r="G23" s="8">
        <v>6.8965517241379309E-2</v>
      </c>
      <c r="H23" s="8">
        <v>0.81896551724137934</v>
      </c>
      <c r="I23" s="8">
        <v>0.48768275862068977</v>
      </c>
      <c r="J23" s="8">
        <v>0.39137931034482759</v>
      </c>
      <c r="K23" s="8">
        <f t="shared" si="0"/>
        <v>0.56599999999999995</v>
      </c>
    </row>
    <row r="24" spans="1:11" ht="18.75" customHeight="1" x14ac:dyDescent="0.25">
      <c r="A24" s="7" t="s">
        <v>19</v>
      </c>
      <c r="B24" s="16">
        <v>2024</v>
      </c>
      <c r="C24" s="7" t="s">
        <v>11</v>
      </c>
      <c r="D24" s="7" t="s">
        <v>36</v>
      </c>
      <c r="E24" s="8">
        <v>0.33333333333333331</v>
      </c>
      <c r="F24" s="8">
        <v>0.60606060606060608</v>
      </c>
      <c r="G24" s="8">
        <v>6.0606060606060608E-2</v>
      </c>
      <c r="H24" s="8">
        <v>0.76515151515151514</v>
      </c>
      <c r="I24" s="8">
        <v>0.47330606060606051</v>
      </c>
      <c r="J24" s="8">
        <v>0.34848484848484851</v>
      </c>
      <c r="K24" s="8">
        <f t="shared" si="0"/>
        <v>0.52900000000000003</v>
      </c>
    </row>
    <row r="25" spans="1:11" ht="18.75" customHeight="1" x14ac:dyDescent="0.25">
      <c r="A25" s="7" t="s">
        <v>20</v>
      </c>
      <c r="B25" s="16">
        <v>2024</v>
      </c>
      <c r="C25" s="7" t="s">
        <v>21</v>
      </c>
      <c r="D25" s="7" t="s">
        <v>36</v>
      </c>
      <c r="E25" s="8">
        <v>0.25</v>
      </c>
      <c r="F25" s="8">
        <v>0.54166666666666663</v>
      </c>
      <c r="G25" s="8">
        <v>0.20833333333333334</v>
      </c>
      <c r="H25" s="8">
        <v>0.80208333333333326</v>
      </c>
      <c r="I25" s="8">
        <v>0.54339999999999999</v>
      </c>
      <c r="J25" s="8">
        <v>0.66667499999999991</v>
      </c>
      <c r="K25" s="8">
        <f t="shared" si="0"/>
        <v>0.67100000000000004</v>
      </c>
    </row>
    <row r="26" spans="1:11" ht="18.75" customHeight="1" x14ac:dyDescent="0.25">
      <c r="A26" s="7" t="s">
        <v>22</v>
      </c>
      <c r="B26" s="16">
        <v>2024</v>
      </c>
      <c r="C26" s="7" t="s">
        <v>21</v>
      </c>
      <c r="D26" s="7" t="s">
        <v>36</v>
      </c>
      <c r="E26" s="8">
        <v>0.125</v>
      </c>
      <c r="F26" s="8">
        <v>0.75</v>
      </c>
      <c r="G26" s="8">
        <v>0.125</v>
      </c>
      <c r="H26" s="8">
        <v>0.72916666666666674</v>
      </c>
      <c r="I26" s="8">
        <v>0.56770833333333337</v>
      </c>
      <c r="J26" s="8">
        <v>0.58900833333333347</v>
      </c>
      <c r="K26" s="8">
        <f t="shared" si="0"/>
        <v>0.629</v>
      </c>
    </row>
    <row r="27" spans="1:11" ht="18.75" customHeight="1" x14ac:dyDescent="0.25">
      <c r="A27" s="7" t="s">
        <v>23</v>
      </c>
      <c r="B27" s="16">
        <v>2024</v>
      </c>
      <c r="C27" s="7" t="s">
        <v>21</v>
      </c>
      <c r="D27" s="7" t="s">
        <v>36</v>
      </c>
      <c r="E27" s="8">
        <v>0.25</v>
      </c>
      <c r="F27" s="8">
        <v>0.75</v>
      </c>
      <c r="G27" s="8">
        <v>0</v>
      </c>
      <c r="H27" s="8">
        <v>0.71250000000000002</v>
      </c>
      <c r="I27" s="8">
        <v>0.50625999999999993</v>
      </c>
      <c r="J27" s="8">
        <v>0.40909499999999993</v>
      </c>
      <c r="K27" s="8">
        <f t="shared" si="0"/>
        <v>0.54300000000000004</v>
      </c>
    </row>
    <row r="28" spans="1:11" ht="18.75" customHeight="1" x14ac:dyDescent="0.25">
      <c r="A28" s="7" t="s">
        <v>24</v>
      </c>
      <c r="B28" s="16">
        <v>2024</v>
      </c>
      <c r="C28" s="7" t="s">
        <v>21</v>
      </c>
      <c r="D28" s="7" t="s">
        <v>36</v>
      </c>
      <c r="E28" s="8">
        <v>0.51851851851851849</v>
      </c>
      <c r="F28" s="8">
        <v>0.40740740740740738</v>
      </c>
      <c r="G28" s="8">
        <v>7.407407407407407E-2</v>
      </c>
      <c r="H28" s="8">
        <v>0.58333333333333337</v>
      </c>
      <c r="I28" s="8">
        <v>0.42130000000000012</v>
      </c>
      <c r="J28" s="8">
        <v>0.48653703703703705</v>
      </c>
      <c r="K28" s="8">
        <f t="shared" si="0"/>
        <v>0.497</v>
      </c>
    </row>
    <row r="29" spans="1:11" ht="18.75" customHeight="1" x14ac:dyDescent="0.25">
      <c r="A29" s="7" t="s">
        <v>25</v>
      </c>
      <c r="B29" s="16">
        <v>2024</v>
      </c>
      <c r="C29" s="7" t="s">
        <v>21</v>
      </c>
      <c r="D29" s="7" t="s">
        <v>36</v>
      </c>
      <c r="E29" s="8">
        <v>0.26666666666666666</v>
      </c>
      <c r="F29" s="8">
        <v>0.73333333333333328</v>
      </c>
      <c r="G29" s="8">
        <v>0</v>
      </c>
      <c r="H29" s="8">
        <v>0.73333333333333328</v>
      </c>
      <c r="I29" s="8">
        <v>0.49860333333333323</v>
      </c>
      <c r="J29" s="8">
        <v>0.43029999999999996</v>
      </c>
      <c r="K29" s="8">
        <f t="shared" si="0"/>
        <v>0.55400000000000005</v>
      </c>
    </row>
    <row r="30" spans="1:11" ht="18.75" customHeight="1" x14ac:dyDescent="0.25">
      <c r="A30" s="7" t="s">
        <v>26</v>
      </c>
      <c r="B30" s="16">
        <v>2024</v>
      </c>
      <c r="C30" s="7" t="s">
        <v>21</v>
      </c>
      <c r="D30" s="7" t="s">
        <v>36</v>
      </c>
      <c r="E30" s="8">
        <v>6.6666666666666666E-2</v>
      </c>
      <c r="F30" s="8">
        <v>0.73333333333333328</v>
      </c>
      <c r="G30" s="8">
        <v>0.2</v>
      </c>
      <c r="H30" s="8">
        <v>0.84166666666666667</v>
      </c>
      <c r="I30" s="8">
        <v>0.63749999999999996</v>
      </c>
      <c r="J30" s="8">
        <v>0.71969333333333352</v>
      </c>
      <c r="K30" s="8">
        <f t="shared" si="0"/>
        <v>0.73299999999999998</v>
      </c>
    </row>
    <row r="31" spans="1:11" ht="18.75" customHeight="1" x14ac:dyDescent="0.25">
      <c r="A31" s="7" t="s">
        <v>27</v>
      </c>
      <c r="B31" s="16">
        <v>2024</v>
      </c>
      <c r="C31" s="7" t="s">
        <v>21</v>
      </c>
      <c r="D31" s="7" t="s">
        <v>36</v>
      </c>
      <c r="E31" s="8">
        <v>6.4516129032258063E-2</v>
      </c>
      <c r="F31" s="8">
        <v>0.74193548387096775</v>
      </c>
      <c r="G31" s="8">
        <v>0.19354838709677419</v>
      </c>
      <c r="H31" s="8">
        <v>0.89516129032258063</v>
      </c>
      <c r="I31" s="8">
        <v>0.63575806451612904</v>
      </c>
      <c r="J31" s="8">
        <v>0.70235806451612925</v>
      </c>
      <c r="K31" s="8">
        <f t="shared" si="0"/>
        <v>0.74399999999999999</v>
      </c>
    </row>
    <row r="32" spans="1:11" ht="18.75" customHeight="1" x14ac:dyDescent="0.25">
      <c r="A32" s="7" t="s">
        <v>28</v>
      </c>
      <c r="B32" s="16">
        <v>2024</v>
      </c>
      <c r="C32" s="7" t="s">
        <v>11</v>
      </c>
      <c r="D32" s="7" t="s">
        <v>35</v>
      </c>
      <c r="E32" s="8">
        <f t="shared" ref="E32:J35" si="1">IFERROR(AVERAGEIFS(E$2:E$31,$C$2:$C$31,$C32,$D$2:$D$31,$D32),"")</f>
        <v>0.10992325689016866</v>
      </c>
      <c r="F32" s="8">
        <f t="shared" si="1"/>
        <v>0.71317218989315845</v>
      </c>
      <c r="G32" s="8">
        <f t="shared" si="1"/>
        <v>0.17690455321667287</v>
      </c>
      <c r="H32" s="8">
        <f t="shared" si="1"/>
        <v>0.74793012756731381</v>
      </c>
      <c r="I32" s="8">
        <f t="shared" si="1"/>
        <v>0.62751524696703265</v>
      </c>
      <c r="J32" s="8">
        <f t="shared" si="1"/>
        <v>0.58575543630888771</v>
      </c>
      <c r="K32" s="8">
        <f t="shared" si="0"/>
        <v>0.65400000000000003</v>
      </c>
    </row>
    <row r="33" spans="1:11" ht="18.75" customHeight="1" x14ac:dyDescent="0.25">
      <c r="A33" s="7" t="s">
        <v>29</v>
      </c>
      <c r="B33" s="16">
        <v>2024</v>
      </c>
      <c r="C33" s="7" t="s">
        <v>21</v>
      </c>
      <c r="D33" s="7" t="s">
        <v>35</v>
      </c>
      <c r="E33" s="8">
        <f t="shared" si="1"/>
        <v>0.14533172408748446</v>
      </c>
      <c r="F33" s="8">
        <f t="shared" si="1"/>
        <v>0.71744837002901529</v>
      </c>
      <c r="G33" s="8">
        <f t="shared" si="1"/>
        <v>0.13721990588350036</v>
      </c>
      <c r="H33" s="8">
        <f t="shared" si="1"/>
        <v>0.75714285714285712</v>
      </c>
      <c r="I33" s="8">
        <f t="shared" si="1"/>
        <v>0.62571428571428578</v>
      </c>
      <c r="J33" s="8">
        <f t="shared" si="1"/>
        <v>0.53999999999999992</v>
      </c>
      <c r="K33" s="8">
        <f t="shared" si="0"/>
        <v>0.64100000000000001</v>
      </c>
    </row>
    <row r="34" spans="1:11" ht="18.75" customHeight="1" x14ac:dyDescent="0.25">
      <c r="A34" s="7" t="s">
        <v>28</v>
      </c>
      <c r="B34" s="16">
        <v>2024</v>
      </c>
      <c r="C34" s="7" t="s">
        <v>11</v>
      </c>
      <c r="D34" s="7" t="s">
        <v>36</v>
      </c>
      <c r="E34" s="8">
        <f t="shared" si="1"/>
        <v>0.18494927392186386</v>
      </c>
      <c r="F34" s="8">
        <f t="shared" si="1"/>
        <v>0.67510787565567643</v>
      </c>
      <c r="G34" s="8">
        <f t="shared" si="1"/>
        <v>0.13994285042245969</v>
      </c>
      <c r="H34" s="8">
        <f t="shared" si="1"/>
        <v>0.8685300433984311</v>
      </c>
      <c r="I34" s="8">
        <f t="shared" si="1"/>
        <v>0.58403093377246762</v>
      </c>
      <c r="J34" s="8">
        <f t="shared" si="1"/>
        <v>0.48147195093239054</v>
      </c>
      <c r="K34" s="8">
        <f t="shared" si="0"/>
        <v>0.64500000000000002</v>
      </c>
    </row>
    <row r="35" spans="1:11" ht="18.75" customHeight="1" x14ac:dyDescent="0.25">
      <c r="A35" s="7" t="s">
        <v>29</v>
      </c>
      <c r="B35" s="16">
        <v>2024</v>
      </c>
      <c r="C35" s="7" t="s">
        <v>21</v>
      </c>
      <c r="D35" s="7" t="s">
        <v>36</v>
      </c>
      <c r="E35" s="8">
        <f t="shared" si="1"/>
        <v>0.22019542584058713</v>
      </c>
      <c r="F35" s="8">
        <f t="shared" si="1"/>
        <v>0.66538231780167256</v>
      </c>
      <c r="G35" s="8">
        <f t="shared" si="1"/>
        <v>0.11442225635774024</v>
      </c>
      <c r="H35" s="8">
        <f t="shared" si="1"/>
        <v>0.75674923195084498</v>
      </c>
      <c r="I35" s="8">
        <f t="shared" si="1"/>
        <v>0.54436139016897078</v>
      </c>
      <c r="J35" s="8">
        <f t="shared" si="1"/>
        <v>0.57195239545997623</v>
      </c>
      <c r="K35" s="8">
        <f t="shared" si="0"/>
        <v>0.624</v>
      </c>
    </row>
    <row r="36" spans="1:11" x14ac:dyDescent="0.25">
      <c r="A36" s="7" t="s">
        <v>10</v>
      </c>
      <c r="B36" s="16">
        <v>2025</v>
      </c>
      <c r="C36" s="7" t="s">
        <v>11</v>
      </c>
      <c r="D36" s="7" t="s">
        <v>35</v>
      </c>
      <c r="E36" s="8">
        <v>0</v>
      </c>
      <c r="F36" s="8">
        <v>0.65517241379310343</v>
      </c>
      <c r="G36" s="8">
        <v>0.34482758620689657</v>
      </c>
      <c r="H36" s="8">
        <v>0.78448275862068972</v>
      </c>
      <c r="I36" s="8">
        <v>0.6699448275862071</v>
      </c>
      <c r="J36" s="8">
        <v>0.62068965517241381</v>
      </c>
      <c r="K36" s="8">
        <f>IFERROR(ROUND(AVERAGE(H36:J36),3),"")</f>
        <v>0.69199999999999995</v>
      </c>
    </row>
    <row r="37" spans="1:11" x14ac:dyDescent="0.25">
      <c r="A37" s="7" t="s">
        <v>13</v>
      </c>
      <c r="B37" s="16">
        <v>2025</v>
      </c>
      <c r="C37" s="7" t="s">
        <v>11</v>
      </c>
      <c r="D37" s="7" t="s">
        <v>35</v>
      </c>
      <c r="E37" s="8">
        <v>5.8823529411764705E-2</v>
      </c>
      <c r="F37" s="8">
        <v>0.67647058823529416</v>
      </c>
      <c r="G37" s="8">
        <v>0.26470588235294118</v>
      </c>
      <c r="H37" s="8">
        <v>0.81617647058823539</v>
      </c>
      <c r="I37" s="8">
        <v>0.67507352941176479</v>
      </c>
      <c r="J37" s="8">
        <v>0.65441176470588236</v>
      </c>
      <c r="K37" s="8">
        <f t="shared" ref="K37:K69" si="2">IFERROR(ROUND(AVERAGE(H37:J37),3),"")</f>
        <v>0.71499999999999997</v>
      </c>
    </row>
    <row r="38" spans="1:11" x14ac:dyDescent="0.25">
      <c r="A38" s="7" t="s">
        <v>14</v>
      </c>
      <c r="B38" s="16">
        <v>2025</v>
      </c>
      <c r="C38" s="7" t="s">
        <v>11</v>
      </c>
      <c r="D38" s="7" t="s">
        <v>35</v>
      </c>
      <c r="E38" s="8">
        <v>0.12820512820512819</v>
      </c>
      <c r="F38" s="8">
        <v>0.71794871794871795</v>
      </c>
      <c r="G38" s="8">
        <v>0.15384615384615385</v>
      </c>
      <c r="H38" s="8">
        <v>0.71794871794871795</v>
      </c>
      <c r="I38" s="8">
        <v>0.64345641025641043</v>
      </c>
      <c r="J38" s="8">
        <v>0.63461538461538458</v>
      </c>
      <c r="K38" s="8">
        <f t="shared" si="2"/>
        <v>0.66500000000000004</v>
      </c>
    </row>
    <row r="39" spans="1:11" x14ac:dyDescent="0.25">
      <c r="A39" s="7" t="s">
        <v>15</v>
      </c>
      <c r="B39" s="16">
        <v>2025</v>
      </c>
      <c r="C39" s="7" t="s">
        <v>11</v>
      </c>
      <c r="D39" s="7" t="s">
        <v>35</v>
      </c>
      <c r="E39" s="8">
        <v>6.25E-2</v>
      </c>
      <c r="F39" s="8">
        <v>0.8125</v>
      </c>
      <c r="G39" s="8">
        <v>0.125</v>
      </c>
      <c r="H39" s="8">
        <v>0.8046875</v>
      </c>
      <c r="I39" s="8">
        <v>0.65624062500000035</v>
      </c>
      <c r="J39" s="8">
        <v>0.5859375</v>
      </c>
      <c r="K39" s="8">
        <f t="shared" si="2"/>
        <v>0.68200000000000005</v>
      </c>
    </row>
    <row r="40" spans="1:11" x14ac:dyDescent="0.25">
      <c r="A40" s="7" t="s">
        <v>16</v>
      </c>
      <c r="B40" s="16">
        <v>2025</v>
      </c>
      <c r="C40" s="7" t="s">
        <v>11</v>
      </c>
      <c r="D40" s="7" t="s">
        <v>35</v>
      </c>
      <c r="E40" s="8">
        <v>8.3333333333333329E-2</v>
      </c>
      <c r="F40" s="8">
        <v>0.69444444444444442</v>
      </c>
      <c r="G40" s="8">
        <v>0.22222222222222221</v>
      </c>
      <c r="H40" s="8">
        <v>0.76388888888888884</v>
      </c>
      <c r="I40" s="8">
        <v>0.66666111111111126</v>
      </c>
      <c r="J40" s="8">
        <v>0.64444444444444438</v>
      </c>
      <c r="K40" s="8">
        <f t="shared" si="2"/>
        <v>0.69199999999999995</v>
      </c>
    </row>
    <row r="41" spans="1:11" x14ac:dyDescent="0.25">
      <c r="A41" s="7" t="s">
        <v>17</v>
      </c>
      <c r="B41" s="16">
        <v>2025</v>
      </c>
      <c r="C41" s="7" t="s">
        <v>11</v>
      </c>
      <c r="D41" s="7" t="s">
        <v>35</v>
      </c>
      <c r="E41" s="8">
        <v>0.26470588235294118</v>
      </c>
      <c r="F41" s="8">
        <v>0.58823529411764708</v>
      </c>
      <c r="G41" s="8">
        <v>0.14705882352941177</v>
      </c>
      <c r="H41" s="8">
        <v>0.69852941176470595</v>
      </c>
      <c r="I41" s="8">
        <v>0.58262941176470606</v>
      </c>
      <c r="J41" s="8">
        <v>0.48382352941176471</v>
      </c>
      <c r="K41" s="8">
        <f t="shared" si="2"/>
        <v>0.58799999999999997</v>
      </c>
    </row>
    <row r="42" spans="1:11" x14ac:dyDescent="0.25">
      <c r="A42" s="7" t="s">
        <v>18</v>
      </c>
      <c r="B42" s="16">
        <v>2025</v>
      </c>
      <c r="C42" s="7" t="s">
        <v>11</v>
      </c>
      <c r="D42" s="7" t="s">
        <v>35</v>
      </c>
      <c r="E42" s="8">
        <v>0.1</v>
      </c>
      <c r="F42" s="8">
        <v>0.83333333333333337</v>
      </c>
      <c r="G42" s="8">
        <v>6.6666666666666666E-2</v>
      </c>
      <c r="H42" s="8">
        <v>0.70833333333333326</v>
      </c>
      <c r="I42" s="8">
        <v>0.57777666666666694</v>
      </c>
      <c r="J42" s="8">
        <v>0.51666666666666661</v>
      </c>
      <c r="K42" s="8">
        <f t="shared" si="2"/>
        <v>0.60099999999999998</v>
      </c>
    </row>
    <row r="43" spans="1:11" x14ac:dyDescent="0.25">
      <c r="A43" s="7" t="s">
        <v>19</v>
      </c>
      <c r="B43" s="16">
        <v>2025</v>
      </c>
      <c r="C43" s="7" t="s">
        <v>11</v>
      </c>
      <c r="D43" s="7" t="s">
        <v>35</v>
      </c>
      <c r="E43" s="8">
        <v>0.18181818181818182</v>
      </c>
      <c r="F43" s="8">
        <v>0.72727272727272729</v>
      </c>
      <c r="G43" s="8">
        <v>9.0909090909090912E-2</v>
      </c>
      <c r="H43" s="8">
        <v>0.68939393939393934</v>
      </c>
      <c r="I43" s="8">
        <v>0.5483393939393939</v>
      </c>
      <c r="J43" s="8">
        <v>0.54545454545454541</v>
      </c>
      <c r="K43" s="8">
        <f t="shared" si="2"/>
        <v>0.59399999999999997</v>
      </c>
    </row>
    <row r="44" spans="1:11" x14ac:dyDescent="0.25">
      <c r="A44" s="7" t="s">
        <v>20</v>
      </c>
      <c r="B44" s="16">
        <v>2025</v>
      </c>
      <c r="C44" s="7" t="s">
        <v>21</v>
      </c>
      <c r="D44" s="7" t="s">
        <v>35</v>
      </c>
      <c r="E44" s="8">
        <v>0.24</v>
      </c>
      <c r="F44" s="8">
        <v>0.56000000000000005</v>
      </c>
      <c r="G44" s="8">
        <v>0.2</v>
      </c>
      <c r="H44" s="8">
        <v>0.69</v>
      </c>
      <c r="I44" s="8">
        <v>0.6</v>
      </c>
      <c r="J44" s="8">
        <v>0.57999999999999996</v>
      </c>
      <c r="K44" s="8">
        <f t="shared" si="2"/>
        <v>0.623</v>
      </c>
    </row>
    <row r="45" spans="1:11" x14ac:dyDescent="0.25">
      <c r="A45" s="7" t="s">
        <v>22</v>
      </c>
      <c r="B45" s="16">
        <v>2025</v>
      </c>
      <c r="C45" s="7" t="s">
        <v>21</v>
      </c>
      <c r="D45" s="7" t="s">
        <v>35</v>
      </c>
      <c r="E45" s="8">
        <v>0.10714285714285714</v>
      </c>
      <c r="F45" s="8">
        <v>0.75</v>
      </c>
      <c r="G45" s="8">
        <v>0.14285714285714285</v>
      </c>
      <c r="H45" s="8">
        <v>0.73</v>
      </c>
      <c r="I45" s="8">
        <v>0.61</v>
      </c>
      <c r="J45" s="8">
        <v>0.53</v>
      </c>
      <c r="K45" s="8">
        <f t="shared" si="2"/>
        <v>0.623</v>
      </c>
    </row>
    <row r="46" spans="1:11" x14ac:dyDescent="0.25">
      <c r="A46" s="7" t="s">
        <v>23</v>
      </c>
      <c r="B46" s="16">
        <v>2025</v>
      </c>
      <c r="C46" s="7" t="s">
        <v>21</v>
      </c>
      <c r="D46" s="7" t="s">
        <v>35</v>
      </c>
      <c r="E46" s="8">
        <v>0.16666666666666666</v>
      </c>
      <c r="F46" s="8">
        <v>0.83333333333333337</v>
      </c>
      <c r="G46" s="8">
        <v>0</v>
      </c>
      <c r="H46" s="8">
        <v>0.73</v>
      </c>
      <c r="I46" s="8">
        <v>0.56999999999999995</v>
      </c>
      <c r="J46" s="8">
        <v>0.44</v>
      </c>
      <c r="K46" s="8">
        <f t="shared" si="2"/>
        <v>0.57999999999999996</v>
      </c>
    </row>
    <row r="47" spans="1:11" x14ac:dyDescent="0.25">
      <c r="A47" s="7" t="s">
        <v>24</v>
      </c>
      <c r="B47" s="16">
        <v>2025</v>
      </c>
      <c r="C47" s="7" t="s">
        <v>21</v>
      </c>
      <c r="D47" s="7" t="s">
        <v>35</v>
      </c>
      <c r="E47" s="8">
        <v>0.22222222222222221</v>
      </c>
      <c r="F47" s="8">
        <v>0.7407407407407407</v>
      </c>
      <c r="G47" s="8">
        <v>3.7037037037037035E-2</v>
      </c>
      <c r="H47" s="8">
        <v>0.66</v>
      </c>
      <c r="I47" s="8">
        <v>0.55000000000000004</v>
      </c>
      <c r="J47" s="8">
        <v>0.47</v>
      </c>
      <c r="K47" s="8">
        <f t="shared" si="2"/>
        <v>0.56000000000000005</v>
      </c>
    </row>
    <row r="48" spans="1:11" x14ac:dyDescent="0.25">
      <c r="A48" s="7" t="s">
        <v>25</v>
      </c>
      <c r="B48" s="16">
        <v>2025</v>
      </c>
      <c r="C48" s="7" t="s">
        <v>21</v>
      </c>
      <c r="D48" s="7" t="s">
        <v>35</v>
      </c>
      <c r="E48" s="8">
        <v>0.12</v>
      </c>
      <c r="F48" s="8">
        <v>0.88</v>
      </c>
      <c r="G48" s="8">
        <v>0</v>
      </c>
      <c r="H48" s="8">
        <v>0.78</v>
      </c>
      <c r="I48" s="8">
        <v>0.57999999999999996</v>
      </c>
      <c r="J48" s="8">
        <v>0.44</v>
      </c>
      <c r="K48" s="8">
        <f t="shared" si="2"/>
        <v>0.6</v>
      </c>
    </row>
    <row r="49" spans="1:11" x14ac:dyDescent="0.25">
      <c r="A49" s="7" t="s">
        <v>26</v>
      </c>
      <c r="B49" s="16">
        <v>2025</v>
      </c>
      <c r="C49" s="7" t="s">
        <v>21</v>
      </c>
      <c r="D49" s="7" t="s">
        <v>35</v>
      </c>
      <c r="E49" s="8">
        <v>9.6774193548387094E-2</v>
      </c>
      <c r="F49" s="8">
        <v>0.61290322580645162</v>
      </c>
      <c r="G49" s="8">
        <v>0.29032258064516131</v>
      </c>
      <c r="H49" s="8">
        <v>0.82</v>
      </c>
      <c r="I49" s="8">
        <v>0.74</v>
      </c>
      <c r="J49" s="8">
        <v>0.64</v>
      </c>
      <c r="K49" s="8">
        <f t="shared" si="2"/>
        <v>0.73299999999999998</v>
      </c>
    </row>
    <row r="50" spans="1:11" x14ac:dyDescent="0.25">
      <c r="A50" s="7" t="s">
        <v>27</v>
      </c>
      <c r="B50" s="16">
        <v>2025</v>
      </c>
      <c r="C50" s="7" t="s">
        <v>21</v>
      </c>
      <c r="D50" s="7" t="s">
        <v>35</v>
      </c>
      <c r="E50" s="8">
        <v>6.4516129032258063E-2</v>
      </c>
      <c r="F50" s="8">
        <v>0.64516129032258063</v>
      </c>
      <c r="G50" s="8">
        <v>0.29032258064516131</v>
      </c>
      <c r="H50" s="8">
        <v>0.89</v>
      </c>
      <c r="I50" s="8">
        <v>0.73</v>
      </c>
      <c r="J50" s="8">
        <v>0.68</v>
      </c>
      <c r="K50" s="8">
        <f t="shared" si="2"/>
        <v>0.76700000000000002</v>
      </c>
    </row>
    <row r="51" spans="1:11" x14ac:dyDescent="0.25">
      <c r="A51" s="7" t="s">
        <v>10</v>
      </c>
      <c r="B51" s="16">
        <v>2025</v>
      </c>
      <c r="C51" s="7" t="s">
        <v>11</v>
      </c>
      <c r="D51" s="7" t="s">
        <v>36</v>
      </c>
      <c r="E51" s="8">
        <v>0.10344827586206896</v>
      </c>
      <c r="F51" s="8">
        <v>0.75862068965517238</v>
      </c>
      <c r="G51" s="8">
        <v>0.13793103448275862</v>
      </c>
      <c r="H51" s="8">
        <v>0.9568965517241379</v>
      </c>
      <c r="I51" s="8">
        <v>0.61083448275862084</v>
      </c>
      <c r="J51" s="8">
        <v>0.52586206896551724</v>
      </c>
      <c r="K51" s="8">
        <f t="shared" si="2"/>
        <v>0.69799999999999995</v>
      </c>
    </row>
    <row r="52" spans="1:11" x14ac:dyDescent="0.25">
      <c r="A52" s="7" t="s">
        <v>13</v>
      </c>
      <c r="B52" s="16">
        <v>2025</v>
      </c>
      <c r="C52" s="7" t="s">
        <v>11</v>
      </c>
      <c r="D52" s="7" t="s">
        <v>36</v>
      </c>
      <c r="E52" s="8">
        <v>0.1388888888888889</v>
      </c>
      <c r="F52" s="8">
        <v>0.63888888888888884</v>
      </c>
      <c r="G52" s="8">
        <v>0.22222222222222221</v>
      </c>
      <c r="H52" s="8">
        <v>0.89583333333333326</v>
      </c>
      <c r="I52" s="8">
        <v>0.65872500000000012</v>
      </c>
      <c r="J52" s="8">
        <v>0.54583333333333339</v>
      </c>
      <c r="K52" s="8">
        <f t="shared" si="2"/>
        <v>0.7</v>
      </c>
    </row>
    <row r="53" spans="1:11" x14ac:dyDescent="0.25">
      <c r="A53" s="7" t="s">
        <v>14</v>
      </c>
      <c r="B53" s="16">
        <v>2025</v>
      </c>
      <c r="C53" s="7" t="s">
        <v>11</v>
      </c>
      <c r="D53" s="7" t="s">
        <v>36</v>
      </c>
      <c r="E53" s="8">
        <v>0.13513513513513514</v>
      </c>
      <c r="F53" s="8">
        <v>0.6216216216216216</v>
      </c>
      <c r="G53" s="8">
        <v>0.24324324324324326</v>
      </c>
      <c r="H53" s="8">
        <v>0.93918918918918914</v>
      </c>
      <c r="I53" s="8">
        <v>0.6241945945945947</v>
      </c>
      <c r="J53" s="8">
        <v>0.54594594594594592</v>
      </c>
      <c r="K53" s="8">
        <f t="shared" si="2"/>
        <v>0.70299999999999996</v>
      </c>
    </row>
    <row r="54" spans="1:11" x14ac:dyDescent="0.25">
      <c r="A54" s="7" t="s">
        <v>15</v>
      </c>
      <c r="B54" s="16">
        <v>2025</v>
      </c>
      <c r="C54" s="7" t="s">
        <v>11</v>
      </c>
      <c r="D54" s="7" t="s">
        <v>36</v>
      </c>
      <c r="E54" s="8">
        <v>8.8235294117647065E-2</v>
      </c>
      <c r="F54" s="8">
        <v>0.8529411764705882</v>
      </c>
      <c r="G54" s="8">
        <v>5.8823529411764705E-2</v>
      </c>
      <c r="H54" s="8">
        <v>0.92647058823529405</v>
      </c>
      <c r="I54" s="8">
        <v>0.59944117647058826</v>
      </c>
      <c r="J54" s="8">
        <v>0.50882352941176467</v>
      </c>
      <c r="K54" s="8">
        <f t="shared" si="2"/>
        <v>0.67800000000000005</v>
      </c>
    </row>
    <row r="55" spans="1:11" x14ac:dyDescent="0.25">
      <c r="A55" s="7" t="s">
        <v>16</v>
      </c>
      <c r="B55" s="16">
        <v>2025</v>
      </c>
      <c r="C55" s="7" t="s">
        <v>11</v>
      </c>
      <c r="D55" s="7" t="s">
        <v>36</v>
      </c>
      <c r="E55" s="8">
        <v>0.15151515151515152</v>
      </c>
      <c r="F55" s="8">
        <v>0.75757575757575757</v>
      </c>
      <c r="G55" s="8">
        <v>9.0909090909090912E-2</v>
      </c>
      <c r="H55" s="8">
        <v>0.75757575757575746</v>
      </c>
      <c r="I55" s="8">
        <v>0.60028181818181825</v>
      </c>
      <c r="J55" s="8">
        <v>0.43939393939393939</v>
      </c>
      <c r="K55" s="8">
        <f t="shared" si="2"/>
        <v>0.59899999999999998</v>
      </c>
    </row>
    <row r="56" spans="1:11" x14ac:dyDescent="0.25">
      <c r="A56" s="7" t="s">
        <v>17</v>
      </c>
      <c r="B56" s="16">
        <v>2025</v>
      </c>
      <c r="C56" s="7" t="s">
        <v>11</v>
      </c>
      <c r="D56" s="7" t="s">
        <v>36</v>
      </c>
      <c r="E56" s="8">
        <v>0.18421052631578946</v>
      </c>
      <c r="F56" s="8">
        <v>0.57894736842105265</v>
      </c>
      <c r="G56" s="8">
        <v>0.23684210526315788</v>
      </c>
      <c r="H56" s="8">
        <v>0.88815789473684204</v>
      </c>
      <c r="I56" s="8">
        <v>0.61778157894736863</v>
      </c>
      <c r="J56" s="8">
        <v>0.54605263157894735</v>
      </c>
      <c r="K56" s="8">
        <f t="shared" si="2"/>
        <v>0.68400000000000005</v>
      </c>
    </row>
    <row r="57" spans="1:11" x14ac:dyDescent="0.25">
      <c r="A57" s="7" t="s">
        <v>18</v>
      </c>
      <c r="B57" s="16">
        <v>2025</v>
      </c>
      <c r="C57" s="7" t="s">
        <v>11</v>
      </c>
      <c r="D57" s="7" t="s">
        <v>36</v>
      </c>
      <c r="E57" s="8">
        <v>0.34482758620689657</v>
      </c>
      <c r="F57" s="8">
        <v>0.58620689655172409</v>
      </c>
      <c r="G57" s="8">
        <v>6.8965517241379309E-2</v>
      </c>
      <c r="H57" s="8">
        <v>0.81896551724137934</v>
      </c>
      <c r="I57" s="8">
        <v>0.48768275862068977</v>
      </c>
      <c r="J57" s="8">
        <v>0.39137931034482759</v>
      </c>
      <c r="K57" s="8">
        <f t="shared" si="2"/>
        <v>0.56599999999999995</v>
      </c>
    </row>
    <row r="58" spans="1:11" x14ac:dyDescent="0.25">
      <c r="A58" s="7" t="s">
        <v>19</v>
      </c>
      <c r="B58" s="16">
        <v>2025</v>
      </c>
      <c r="C58" s="7" t="s">
        <v>11</v>
      </c>
      <c r="D58" s="7" t="s">
        <v>36</v>
      </c>
      <c r="E58" s="8">
        <v>0.33333333333333331</v>
      </c>
      <c r="F58" s="8">
        <v>0.60606060606060608</v>
      </c>
      <c r="G58" s="8">
        <v>6.0606060606060608E-2</v>
      </c>
      <c r="H58" s="8">
        <v>0.76515151515151514</v>
      </c>
      <c r="I58" s="8">
        <v>0.47330606060606051</v>
      </c>
      <c r="J58" s="8">
        <v>0.34848484848484851</v>
      </c>
      <c r="K58" s="8">
        <f t="shared" si="2"/>
        <v>0.52900000000000003</v>
      </c>
    </row>
    <row r="59" spans="1:11" x14ac:dyDescent="0.25">
      <c r="A59" s="7" t="s">
        <v>20</v>
      </c>
      <c r="B59" s="16">
        <v>2025</v>
      </c>
      <c r="C59" s="7" t="s">
        <v>21</v>
      </c>
      <c r="D59" s="7" t="s">
        <v>36</v>
      </c>
      <c r="E59" s="8">
        <v>0.25</v>
      </c>
      <c r="F59" s="8">
        <v>0.54166666666666663</v>
      </c>
      <c r="G59" s="8">
        <v>0.20833333333333334</v>
      </c>
      <c r="H59" s="8">
        <v>0.80208333333333326</v>
      </c>
      <c r="I59" s="8">
        <v>0.54339999999999999</v>
      </c>
      <c r="J59" s="8">
        <v>0.66667499999999991</v>
      </c>
      <c r="K59" s="8">
        <f t="shared" si="2"/>
        <v>0.67100000000000004</v>
      </c>
    </row>
    <row r="60" spans="1:11" x14ac:dyDescent="0.25">
      <c r="A60" s="7" t="s">
        <v>22</v>
      </c>
      <c r="B60" s="16">
        <v>2025</v>
      </c>
      <c r="C60" s="7" t="s">
        <v>21</v>
      </c>
      <c r="D60" s="7" t="s">
        <v>36</v>
      </c>
      <c r="E60" s="8">
        <v>0.125</v>
      </c>
      <c r="F60" s="8">
        <v>0.75</v>
      </c>
      <c r="G60" s="8">
        <v>0.125</v>
      </c>
      <c r="H60" s="8">
        <v>0.72916666666666674</v>
      </c>
      <c r="I60" s="8">
        <v>0.56770833333333337</v>
      </c>
      <c r="J60" s="8">
        <v>0.58900833333333347</v>
      </c>
      <c r="K60" s="8">
        <f t="shared" si="2"/>
        <v>0.629</v>
      </c>
    </row>
    <row r="61" spans="1:11" x14ac:dyDescent="0.25">
      <c r="A61" s="7" t="s">
        <v>23</v>
      </c>
      <c r="B61" s="16">
        <v>2025</v>
      </c>
      <c r="C61" s="7" t="s">
        <v>21</v>
      </c>
      <c r="D61" s="7" t="s">
        <v>36</v>
      </c>
      <c r="E61" s="8">
        <v>0.25</v>
      </c>
      <c r="F61" s="8">
        <v>0.75</v>
      </c>
      <c r="G61" s="8">
        <v>0</v>
      </c>
      <c r="H61" s="8">
        <v>0.71250000000000002</v>
      </c>
      <c r="I61" s="8">
        <v>0.50625999999999993</v>
      </c>
      <c r="J61" s="8">
        <v>0.40909499999999993</v>
      </c>
      <c r="K61" s="8">
        <f t="shared" si="2"/>
        <v>0.54300000000000004</v>
      </c>
    </row>
    <row r="62" spans="1:11" x14ac:dyDescent="0.25">
      <c r="A62" s="7" t="s">
        <v>24</v>
      </c>
      <c r="B62" s="16">
        <v>2025</v>
      </c>
      <c r="C62" s="7" t="s">
        <v>21</v>
      </c>
      <c r="D62" s="7" t="s">
        <v>36</v>
      </c>
      <c r="E62" s="8">
        <v>0.51851851851851849</v>
      </c>
      <c r="F62" s="8">
        <v>0.40740740740740738</v>
      </c>
      <c r="G62" s="8">
        <v>7.407407407407407E-2</v>
      </c>
      <c r="H62" s="8">
        <v>0.58333333333333337</v>
      </c>
      <c r="I62" s="8">
        <v>0.42130000000000012</v>
      </c>
      <c r="J62" s="8">
        <v>0.48653703703703705</v>
      </c>
      <c r="K62" s="8">
        <f t="shared" si="2"/>
        <v>0.497</v>
      </c>
    </row>
    <row r="63" spans="1:11" x14ac:dyDescent="0.25">
      <c r="A63" s="7" t="s">
        <v>25</v>
      </c>
      <c r="B63" s="16">
        <v>2025</v>
      </c>
      <c r="C63" s="7" t="s">
        <v>21</v>
      </c>
      <c r="D63" s="7" t="s">
        <v>36</v>
      </c>
      <c r="E63" s="8">
        <v>0.26666666666666666</v>
      </c>
      <c r="F63" s="8">
        <v>0.73333333333333328</v>
      </c>
      <c r="G63" s="8">
        <v>0</v>
      </c>
      <c r="H63" s="8">
        <v>0.73333333333333328</v>
      </c>
      <c r="I63" s="8">
        <v>0.49860333333333323</v>
      </c>
      <c r="J63" s="8">
        <v>0.43029999999999996</v>
      </c>
      <c r="K63" s="8">
        <f t="shared" si="2"/>
        <v>0.55400000000000005</v>
      </c>
    </row>
    <row r="64" spans="1:11" x14ac:dyDescent="0.25">
      <c r="A64" s="7" t="s">
        <v>26</v>
      </c>
      <c r="B64" s="16">
        <v>2025</v>
      </c>
      <c r="C64" s="7" t="s">
        <v>21</v>
      </c>
      <c r="D64" s="7" t="s">
        <v>36</v>
      </c>
      <c r="E64" s="8">
        <v>6.6666666666666666E-2</v>
      </c>
      <c r="F64" s="8">
        <v>0.73333333333333328</v>
      </c>
      <c r="G64" s="8">
        <v>0.2</v>
      </c>
      <c r="H64" s="8">
        <v>0.84166666666666667</v>
      </c>
      <c r="I64" s="8">
        <v>0.63749999999999996</v>
      </c>
      <c r="J64" s="8">
        <v>0.71969333333333352</v>
      </c>
      <c r="K64" s="8">
        <f t="shared" si="2"/>
        <v>0.73299999999999998</v>
      </c>
    </row>
    <row r="65" spans="1:11" x14ac:dyDescent="0.25">
      <c r="A65" s="7" t="s">
        <v>27</v>
      </c>
      <c r="B65" s="16">
        <v>2025</v>
      </c>
      <c r="C65" s="7" t="s">
        <v>21</v>
      </c>
      <c r="D65" s="7" t="s">
        <v>36</v>
      </c>
      <c r="E65" s="8">
        <v>6.4516129032258063E-2</v>
      </c>
      <c r="F65" s="8">
        <v>0.74193548387096775</v>
      </c>
      <c r="G65" s="8">
        <v>0.19354838709677419</v>
      </c>
      <c r="H65" s="8">
        <v>0.89516129032258063</v>
      </c>
      <c r="I65" s="8">
        <v>0.63575806451612904</v>
      </c>
      <c r="J65" s="8">
        <v>0.70235806451612925</v>
      </c>
      <c r="K65" s="8">
        <f t="shared" si="2"/>
        <v>0.74399999999999999</v>
      </c>
    </row>
    <row r="66" spans="1:11" x14ac:dyDescent="0.25">
      <c r="A66" s="7" t="s">
        <v>28</v>
      </c>
      <c r="B66" s="16">
        <v>2025</v>
      </c>
      <c r="C66" s="7" t="s">
        <v>11</v>
      </c>
      <c r="D66" s="7" t="s">
        <v>35</v>
      </c>
      <c r="E66" s="8">
        <f t="shared" ref="E66:J69" si="3">IFERROR(AVERAGEIFS(E$2:E$31,$C$2:$C$31,$C66,$D$2:$D$31,$D66),"")</f>
        <v>0.10992325689016866</v>
      </c>
      <c r="F66" s="8">
        <f t="shared" si="3"/>
        <v>0.71317218989315845</v>
      </c>
      <c r="G66" s="8">
        <f t="shared" si="3"/>
        <v>0.17690455321667287</v>
      </c>
      <c r="H66" s="8">
        <f t="shared" si="3"/>
        <v>0.74793012756731381</v>
      </c>
      <c r="I66" s="8">
        <f t="shared" si="3"/>
        <v>0.62751524696703265</v>
      </c>
      <c r="J66" s="8">
        <f t="shared" si="3"/>
        <v>0.58575543630888771</v>
      </c>
      <c r="K66" s="8">
        <f t="shared" si="2"/>
        <v>0.65400000000000003</v>
      </c>
    </row>
    <row r="67" spans="1:11" x14ac:dyDescent="0.25">
      <c r="A67" s="7" t="s">
        <v>29</v>
      </c>
      <c r="B67" s="16">
        <v>2025</v>
      </c>
      <c r="C67" s="7" t="s">
        <v>21</v>
      </c>
      <c r="D67" s="7" t="s">
        <v>35</v>
      </c>
      <c r="E67" s="8">
        <f t="shared" si="3"/>
        <v>0.14533172408748446</v>
      </c>
      <c r="F67" s="8">
        <f t="shared" si="3"/>
        <v>0.71744837002901529</v>
      </c>
      <c r="G67" s="8">
        <f t="shared" si="3"/>
        <v>0.13721990588350036</v>
      </c>
      <c r="H67" s="8">
        <f t="shared" si="3"/>
        <v>0.75714285714285712</v>
      </c>
      <c r="I67" s="8">
        <f t="shared" si="3"/>
        <v>0.62571428571428578</v>
      </c>
      <c r="J67" s="8">
        <f t="shared" si="3"/>
        <v>0.53999999999999992</v>
      </c>
      <c r="K67" s="8">
        <f t="shared" si="2"/>
        <v>0.64100000000000001</v>
      </c>
    </row>
    <row r="68" spans="1:11" x14ac:dyDescent="0.25">
      <c r="A68" s="7" t="s">
        <v>28</v>
      </c>
      <c r="B68" s="16">
        <v>2025</v>
      </c>
      <c r="C68" s="7" t="s">
        <v>11</v>
      </c>
      <c r="D68" s="7" t="s">
        <v>36</v>
      </c>
      <c r="E68" s="8">
        <f t="shared" si="3"/>
        <v>0.18494927392186386</v>
      </c>
      <c r="F68" s="8">
        <f t="shared" si="3"/>
        <v>0.67510787565567643</v>
      </c>
      <c r="G68" s="8">
        <f t="shared" si="3"/>
        <v>0.13994285042245969</v>
      </c>
      <c r="H68" s="8">
        <f t="shared" si="3"/>
        <v>0.8685300433984311</v>
      </c>
      <c r="I68" s="8">
        <f t="shared" si="3"/>
        <v>0.58403093377246762</v>
      </c>
      <c r="J68" s="8">
        <f t="shared" si="3"/>
        <v>0.48147195093239054</v>
      </c>
      <c r="K68" s="8">
        <f t="shared" si="2"/>
        <v>0.64500000000000002</v>
      </c>
    </row>
    <row r="69" spans="1:11" x14ac:dyDescent="0.25">
      <c r="A69" s="7" t="s">
        <v>29</v>
      </c>
      <c r="B69" s="16">
        <v>2025</v>
      </c>
      <c r="C69" s="7" t="s">
        <v>21</v>
      </c>
      <c r="D69" s="7" t="s">
        <v>36</v>
      </c>
      <c r="E69" s="8">
        <f t="shared" si="3"/>
        <v>0.22019542584058713</v>
      </c>
      <c r="F69" s="8">
        <f t="shared" si="3"/>
        <v>0.66538231780167256</v>
      </c>
      <c r="G69" s="8">
        <f t="shared" si="3"/>
        <v>0.11442225635774024</v>
      </c>
      <c r="H69" s="8">
        <f t="shared" si="3"/>
        <v>0.75674923195084498</v>
      </c>
      <c r="I69" s="8">
        <f t="shared" si="3"/>
        <v>0.54436139016897078</v>
      </c>
      <c r="J69" s="8">
        <f t="shared" si="3"/>
        <v>0.57195239545997623</v>
      </c>
      <c r="K69" s="8">
        <f t="shared" si="2"/>
        <v>0.624</v>
      </c>
    </row>
  </sheetData>
  <pageMargins left="0.7" right="0.7" top="0.75" bottom="0.75" header="0.3" footer="0.3"/>
  <ignoredErrors>
    <ignoredError sqref="K2:K2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S18"/>
  <sheetViews>
    <sheetView workbookViewId="0">
      <selection sqref="A1:M1"/>
    </sheetView>
  </sheetViews>
  <sheetFormatPr baseColWidth="10" defaultColWidth="9.140625" defaultRowHeight="15" x14ac:dyDescent="0.25"/>
  <cols>
    <col min="1" max="1" width="10.85546875" customWidth="1"/>
    <col min="2" max="2" width="20" customWidth="1"/>
    <col min="3" max="3" width="14.5703125" style="9" bestFit="1" customWidth="1"/>
    <col min="4" max="5" width="13.5703125" style="9" bestFit="1" customWidth="1"/>
    <col min="6" max="6" width="12.42578125" style="10" bestFit="1" customWidth="1"/>
    <col min="7" max="7" width="11.85546875" style="10" bestFit="1" customWidth="1"/>
    <col min="8" max="8" width="12.5703125" style="10" bestFit="1" customWidth="1"/>
    <col min="9" max="13" width="13.5703125" style="13" bestFit="1" customWidth="1"/>
    <col min="14" max="19" width="13.5703125" bestFit="1" customWidth="1"/>
  </cols>
  <sheetData>
    <row r="1" spans="1:19" ht="19.5" customHeight="1" x14ac:dyDescent="0.25">
      <c r="A1" s="28" t="s">
        <v>39</v>
      </c>
      <c r="B1" s="26" t="s">
        <v>38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4" t="s">
        <v>5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</row>
    <row r="2" spans="1:19" ht="19.5" customHeight="1" x14ac:dyDescent="0.25">
      <c r="A2" s="25"/>
      <c r="B2" s="27"/>
      <c r="C2" s="24" t="s">
        <v>10</v>
      </c>
      <c r="D2" s="7" t="s">
        <v>11</v>
      </c>
      <c r="E2" s="7" t="s">
        <v>12</v>
      </c>
      <c r="F2" s="8">
        <v>0.78947368421052633</v>
      </c>
      <c r="G2" s="8">
        <v>0.15789473684210525</v>
      </c>
      <c r="H2" s="8">
        <v>5.2631578947368418E-2</v>
      </c>
      <c r="I2" s="8">
        <v>0.30336052631578947</v>
      </c>
      <c r="J2" s="8">
        <v>0.32354999999999995</v>
      </c>
      <c r="K2" s="8">
        <v>0.35087368421052623</v>
      </c>
      <c r="L2" s="8">
        <v>0.20614999999999997</v>
      </c>
      <c r="M2" s="8">
        <f t="shared" ref="M2:M18" si="0">IFERROR(ROUND(AVERAGE(I2:L2),3),"")</f>
        <v>0.29599999999999999</v>
      </c>
      <c r="O2" s="12"/>
      <c r="P2" s="12"/>
      <c r="Q2" s="12"/>
      <c r="R2" s="12"/>
      <c r="S2" s="12"/>
    </row>
    <row r="3" spans="1:19" ht="19.5" customHeight="1" x14ac:dyDescent="0.25">
      <c r="A3" s="25"/>
      <c r="B3" s="27"/>
      <c r="C3" s="24" t="s">
        <v>13</v>
      </c>
      <c r="D3" s="7" t="s">
        <v>11</v>
      </c>
      <c r="E3" s="7" t="s">
        <v>12</v>
      </c>
      <c r="F3" s="8">
        <v>0.78378378378378377</v>
      </c>
      <c r="G3" s="8">
        <v>0.13513513513513514</v>
      </c>
      <c r="H3" s="8">
        <v>8.1081081081081086E-2</v>
      </c>
      <c r="I3" s="8">
        <v>0.28716126126126129</v>
      </c>
      <c r="J3" s="8">
        <v>0.27612635135135133</v>
      </c>
      <c r="K3" s="8">
        <v>0.31981621621621614</v>
      </c>
      <c r="L3" s="8">
        <v>0.27477837837837832</v>
      </c>
      <c r="M3" s="8">
        <f t="shared" si="0"/>
        <v>0.28899999999999998</v>
      </c>
      <c r="O3" s="12"/>
      <c r="P3" s="12"/>
      <c r="Q3" s="12"/>
      <c r="R3" s="12"/>
      <c r="S3" s="12"/>
    </row>
    <row r="4" spans="1:19" ht="19.5" customHeight="1" x14ac:dyDescent="0.25">
      <c r="A4" s="25"/>
      <c r="B4" s="27"/>
      <c r="C4" s="24" t="s">
        <v>14</v>
      </c>
      <c r="D4" s="7" t="s">
        <v>11</v>
      </c>
      <c r="E4" s="7" t="s">
        <v>12</v>
      </c>
      <c r="F4" s="8">
        <v>0.82051282051282048</v>
      </c>
      <c r="G4" s="8">
        <v>0.15384615384615385</v>
      </c>
      <c r="H4" s="8">
        <v>2.564102564102564E-2</v>
      </c>
      <c r="I4" s="8">
        <v>0.2535606837606838</v>
      </c>
      <c r="J4" s="8">
        <v>0.26935512820512814</v>
      </c>
      <c r="K4" s="8">
        <v>0.37605641025641018</v>
      </c>
      <c r="L4" s="8">
        <v>0.17094871794871794</v>
      </c>
      <c r="M4" s="8">
        <f t="shared" si="0"/>
        <v>0.26700000000000002</v>
      </c>
      <c r="O4" s="12"/>
      <c r="P4" s="12"/>
      <c r="Q4" s="12"/>
      <c r="R4" s="12"/>
      <c r="S4" s="12"/>
    </row>
    <row r="5" spans="1:19" ht="19.5" customHeight="1" x14ac:dyDescent="0.25">
      <c r="A5" s="25"/>
      <c r="B5" s="27"/>
      <c r="C5" s="24" t="s">
        <v>15</v>
      </c>
      <c r="D5" s="7" t="s">
        <v>11</v>
      </c>
      <c r="E5" s="7" t="s">
        <v>12</v>
      </c>
      <c r="F5" s="8">
        <v>0.66666666666666663</v>
      </c>
      <c r="G5" s="8">
        <v>0.23076923076923078</v>
      </c>
      <c r="H5" s="8">
        <v>0.10256410256410256</v>
      </c>
      <c r="I5" s="8">
        <v>0.35221025641025638</v>
      </c>
      <c r="J5" s="8">
        <v>0.34547051282051272</v>
      </c>
      <c r="K5" s="8">
        <v>0.41025384615384608</v>
      </c>
      <c r="L5" s="8">
        <v>0.23932051282051275</v>
      </c>
      <c r="M5" s="8">
        <f t="shared" si="0"/>
        <v>0.33700000000000002</v>
      </c>
      <c r="O5" s="12"/>
      <c r="P5" s="12"/>
      <c r="Q5" s="12"/>
      <c r="R5" s="12"/>
      <c r="S5" s="12"/>
    </row>
    <row r="6" spans="1:19" ht="19.5" customHeight="1" x14ac:dyDescent="0.25">
      <c r="A6" s="25"/>
      <c r="B6" s="27"/>
      <c r="C6" s="24" t="s">
        <v>16</v>
      </c>
      <c r="D6" s="7" t="s">
        <v>11</v>
      </c>
      <c r="E6" s="7" t="s">
        <v>12</v>
      </c>
      <c r="F6" s="8">
        <v>0.70967741935483875</v>
      </c>
      <c r="G6" s="8">
        <v>0.25806451612903225</v>
      </c>
      <c r="H6" s="8">
        <v>3.2258064516129031E-2</v>
      </c>
      <c r="I6" s="8">
        <v>0.34811720430107529</v>
      </c>
      <c r="J6" s="8">
        <v>0.31876693548387081</v>
      </c>
      <c r="K6" s="8">
        <v>0.41397741935483873</v>
      </c>
      <c r="L6" s="8">
        <v>0.16667741935483874</v>
      </c>
      <c r="M6" s="8">
        <f t="shared" si="0"/>
        <v>0.312</v>
      </c>
      <c r="O6" s="12"/>
      <c r="P6" s="12"/>
      <c r="Q6" s="12"/>
      <c r="R6" s="12"/>
      <c r="S6" s="12"/>
    </row>
    <row r="7" spans="1:19" ht="19.5" customHeight="1" x14ac:dyDescent="0.25">
      <c r="A7" s="25"/>
      <c r="B7" s="27"/>
      <c r="C7" s="24" t="s">
        <v>17</v>
      </c>
      <c r="D7" s="7" t="s">
        <v>11</v>
      </c>
      <c r="E7" s="7" t="s">
        <v>12</v>
      </c>
      <c r="F7" s="8">
        <v>0.65789473684210531</v>
      </c>
      <c r="G7" s="8">
        <v>0.21052631578947367</v>
      </c>
      <c r="H7" s="8">
        <v>0.13157894736842105</v>
      </c>
      <c r="I7" s="8">
        <v>0.40351315789473696</v>
      </c>
      <c r="J7" s="8">
        <v>0.3520375</v>
      </c>
      <c r="K7" s="8">
        <v>0.36402368421052622</v>
      </c>
      <c r="L7" s="8">
        <v>0.22368947368421049</v>
      </c>
      <c r="M7" s="8">
        <f t="shared" si="0"/>
        <v>0.33600000000000002</v>
      </c>
      <c r="O7" s="12"/>
      <c r="P7" s="12"/>
      <c r="Q7" s="12"/>
      <c r="R7" s="12"/>
      <c r="S7" s="12"/>
    </row>
    <row r="8" spans="1:19" ht="19.5" customHeight="1" x14ac:dyDescent="0.25">
      <c r="A8" s="25"/>
      <c r="B8" s="27"/>
      <c r="C8" s="24" t="s">
        <v>18</v>
      </c>
      <c r="D8" s="7" t="s">
        <v>11</v>
      </c>
      <c r="E8" s="7" t="s">
        <v>12</v>
      </c>
      <c r="F8" s="8">
        <v>0.875</v>
      </c>
      <c r="G8" s="8">
        <v>0.125</v>
      </c>
      <c r="H8" s="8">
        <v>0</v>
      </c>
      <c r="I8" s="8">
        <v>0.23958194444444444</v>
      </c>
      <c r="J8" s="8">
        <v>0.25530729166666666</v>
      </c>
      <c r="K8" s="8">
        <v>0.27082499999999993</v>
      </c>
      <c r="L8" s="8">
        <v>0.13195000000000001</v>
      </c>
      <c r="M8" s="8">
        <f t="shared" si="0"/>
        <v>0.224</v>
      </c>
      <c r="O8" s="12"/>
      <c r="P8" s="12"/>
      <c r="Q8" s="12"/>
      <c r="R8" s="12"/>
      <c r="S8" s="12"/>
    </row>
    <row r="9" spans="1:19" ht="19.5" customHeight="1" x14ac:dyDescent="0.25">
      <c r="A9" s="25"/>
      <c r="B9" s="27"/>
      <c r="C9" s="24" t="s">
        <v>19</v>
      </c>
      <c r="D9" s="7" t="s">
        <v>11</v>
      </c>
      <c r="E9" s="7" t="s">
        <v>12</v>
      </c>
      <c r="F9" s="8">
        <v>0.83333333333333337</v>
      </c>
      <c r="G9" s="8">
        <v>0.13333333333333333</v>
      </c>
      <c r="H9" s="8">
        <v>3.3333333333333333E-2</v>
      </c>
      <c r="I9" s="8">
        <v>0.29444222222222222</v>
      </c>
      <c r="J9" s="8">
        <v>0.23080666666666663</v>
      </c>
      <c r="K9" s="8">
        <v>0.29999666666666663</v>
      </c>
      <c r="L9" s="8">
        <v>0.22778666666666667</v>
      </c>
      <c r="M9" s="8">
        <f t="shared" si="0"/>
        <v>0.26300000000000001</v>
      </c>
      <c r="O9" s="12"/>
      <c r="P9" s="12"/>
      <c r="Q9" s="12"/>
      <c r="R9" s="12"/>
      <c r="S9" s="12"/>
    </row>
    <row r="10" spans="1:19" ht="19.5" customHeight="1" x14ac:dyDescent="0.25">
      <c r="A10" s="25"/>
      <c r="B10" s="27"/>
      <c r="C10" s="24" t="s">
        <v>20</v>
      </c>
      <c r="D10" s="7" t="s">
        <v>21</v>
      </c>
      <c r="E10" s="7" t="s">
        <v>12</v>
      </c>
      <c r="F10" s="8">
        <v>0.86111111111111116</v>
      </c>
      <c r="G10" s="8">
        <v>8.3333333333333329E-2</v>
      </c>
      <c r="H10" s="8">
        <v>5.5555555555555552E-2</v>
      </c>
      <c r="I10" s="8">
        <v>0.3254277777777777</v>
      </c>
      <c r="J10" s="8">
        <v>0.30392222222222215</v>
      </c>
      <c r="K10" s="8">
        <v>0.3125</v>
      </c>
      <c r="L10" s="8">
        <v>0.31111111111111112</v>
      </c>
      <c r="M10" s="8">
        <f t="shared" si="0"/>
        <v>0.313</v>
      </c>
      <c r="O10" s="12"/>
      <c r="P10" s="12"/>
      <c r="Q10" s="12"/>
      <c r="R10" s="12"/>
      <c r="S10" s="12"/>
    </row>
    <row r="11" spans="1:19" ht="19.5" customHeight="1" x14ac:dyDescent="0.25">
      <c r="A11" s="25"/>
      <c r="B11" s="27"/>
      <c r="C11" s="24" t="s">
        <v>22</v>
      </c>
      <c r="D11" s="7" t="s">
        <v>21</v>
      </c>
      <c r="E11" s="7" t="s">
        <v>12</v>
      </c>
      <c r="F11" s="8">
        <v>0.69696969696969702</v>
      </c>
      <c r="G11" s="8">
        <v>0.24242424242424243</v>
      </c>
      <c r="H11" s="8">
        <v>6.0606060606060608E-2</v>
      </c>
      <c r="I11" s="8">
        <v>0.35411414141414133</v>
      </c>
      <c r="J11" s="8">
        <v>0.32798181818181815</v>
      </c>
      <c r="K11" s="8">
        <v>0.43181818181818182</v>
      </c>
      <c r="L11" s="8">
        <v>0.27272727272727271</v>
      </c>
      <c r="M11" s="8">
        <f t="shared" si="0"/>
        <v>0.34699999999999998</v>
      </c>
      <c r="O11" s="12"/>
      <c r="P11" s="12"/>
      <c r="Q11" s="12"/>
      <c r="R11" s="12"/>
      <c r="S11" s="12"/>
    </row>
    <row r="12" spans="1:19" ht="19.5" customHeight="1" x14ac:dyDescent="0.25">
      <c r="A12" s="25"/>
      <c r="B12" s="27"/>
      <c r="C12" s="24" t="s">
        <v>23</v>
      </c>
      <c r="D12" s="7" t="s">
        <v>21</v>
      </c>
      <c r="E12" s="7" t="s">
        <v>12</v>
      </c>
      <c r="F12" s="8">
        <v>0.625</v>
      </c>
      <c r="G12" s="8">
        <v>0.34375</v>
      </c>
      <c r="H12" s="8">
        <v>3.125E-2</v>
      </c>
      <c r="I12" s="8">
        <v>0.35206458333333329</v>
      </c>
      <c r="J12" s="8">
        <v>0.31249999999999994</v>
      </c>
      <c r="K12" s="8">
        <v>0.4296875</v>
      </c>
      <c r="L12" s="8">
        <v>0.27500000000000002</v>
      </c>
      <c r="M12" s="8">
        <f t="shared" si="0"/>
        <v>0.34200000000000003</v>
      </c>
      <c r="O12" s="12"/>
      <c r="P12" s="12"/>
      <c r="Q12" s="12"/>
      <c r="R12" s="12"/>
      <c r="S12" s="12"/>
    </row>
    <row r="13" spans="1:19" ht="19.5" customHeight="1" x14ac:dyDescent="0.25">
      <c r="A13" s="25"/>
      <c r="B13" s="27"/>
      <c r="C13" s="24" t="s">
        <v>24</v>
      </c>
      <c r="D13" s="7" t="s">
        <v>21</v>
      </c>
      <c r="E13" s="7" t="s">
        <v>12</v>
      </c>
      <c r="F13" s="8">
        <v>0.8125</v>
      </c>
      <c r="G13" s="8">
        <v>0.1875</v>
      </c>
      <c r="H13" s="8">
        <v>0</v>
      </c>
      <c r="I13" s="8">
        <v>0.25434999999999997</v>
      </c>
      <c r="J13" s="8">
        <v>0.22057499999999997</v>
      </c>
      <c r="K13" s="8">
        <v>0.390625</v>
      </c>
      <c r="L13" s="8">
        <v>0.3125</v>
      </c>
      <c r="M13" s="8">
        <f t="shared" si="0"/>
        <v>0.29499999999999998</v>
      </c>
      <c r="O13" s="12"/>
      <c r="P13" s="12"/>
      <c r="Q13" s="12"/>
      <c r="R13" s="12"/>
      <c r="S13" s="12"/>
    </row>
    <row r="14" spans="1:19" ht="18.75" customHeight="1" x14ac:dyDescent="0.25">
      <c r="A14" s="25"/>
      <c r="B14" s="27"/>
      <c r="C14" s="24" t="s">
        <v>25</v>
      </c>
      <c r="D14" s="7" t="s">
        <v>21</v>
      </c>
      <c r="E14" s="7" t="s">
        <v>12</v>
      </c>
      <c r="F14" s="8">
        <v>0.76</v>
      </c>
      <c r="G14" s="8">
        <v>0.24</v>
      </c>
      <c r="H14" s="8">
        <v>0</v>
      </c>
      <c r="I14" s="8">
        <v>0.30860800000000005</v>
      </c>
      <c r="J14" s="8">
        <v>0.29881599999999997</v>
      </c>
      <c r="K14" s="8">
        <v>0.44</v>
      </c>
      <c r="L14" s="8">
        <v>0.40799999999999997</v>
      </c>
      <c r="M14" s="8">
        <f t="shared" si="0"/>
        <v>0.36399999999999999</v>
      </c>
      <c r="O14" s="12"/>
      <c r="P14" s="12"/>
      <c r="Q14" s="12"/>
      <c r="R14" s="12"/>
      <c r="S14" s="12"/>
    </row>
    <row r="15" spans="1:19" ht="18.75" customHeight="1" x14ac:dyDescent="0.25">
      <c r="A15" s="25"/>
      <c r="B15" s="27"/>
      <c r="C15" s="24" t="s">
        <v>26</v>
      </c>
      <c r="D15" s="7" t="s">
        <v>21</v>
      </c>
      <c r="E15" s="7" t="s">
        <v>12</v>
      </c>
      <c r="F15" s="8">
        <v>0.53125</v>
      </c>
      <c r="G15" s="8">
        <v>0.375</v>
      </c>
      <c r="H15" s="8">
        <v>9.375E-2</v>
      </c>
      <c r="I15" s="8">
        <v>0.41018958333333322</v>
      </c>
      <c r="J15" s="8">
        <v>0.35936562500000008</v>
      </c>
      <c r="K15" s="8">
        <v>0.4375</v>
      </c>
      <c r="L15" s="8">
        <v>0.33750000000000002</v>
      </c>
      <c r="M15" s="8">
        <f t="shared" si="0"/>
        <v>0.38600000000000001</v>
      </c>
      <c r="O15" s="12"/>
      <c r="P15" s="12"/>
      <c r="Q15" s="12"/>
      <c r="R15" s="12"/>
      <c r="S15" s="12"/>
    </row>
    <row r="16" spans="1:19" ht="18.75" customHeight="1" x14ac:dyDescent="0.25">
      <c r="A16" s="25"/>
      <c r="B16" s="27"/>
      <c r="C16" s="24" t="s">
        <v>27</v>
      </c>
      <c r="D16" s="7" t="s">
        <v>21</v>
      </c>
      <c r="E16" s="7" t="s">
        <v>12</v>
      </c>
      <c r="F16" s="8">
        <v>0.3611111111111111</v>
      </c>
      <c r="G16" s="8">
        <v>0.55555555555555558</v>
      </c>
      <c r="H16" s="8">
        <v>8.3333333333333329E-2</v>
      </c>
      <c r="I16" s="8">
        <v>0.42199907407407411</v>
      </c>
      <c r="J16" s="8">
        <v>0.4019638888888889</v>
      </c>
      <c r="K16" s="8">
        <v>0.53472222222222221</v>
      </c>
      <c r="L16" s="8">
        <v>0.28333333333333333</v>
      </c>
      <c r="M16" s="8">
        <f t="shared" si="0"/>
        <v>0.41099999999999998</v>
      </c>
      <c r="O16" s="12"/>
      <c r="P16" s="12"/>
      <c r="Q16" s="12"/>
      <c r="R16" s="12"/>
      <c r="S16" s="12"/>
    </row>
    <row r="17" spans="1:19" ht="18.75" customHeight="1" x14ac:dyDescent="0.25">
      <c r="A17" s="25"/>
      <c r="B17" s="27"/>
      <c r="C17" s="24" t="s">
        <v>28</v>
      </c>
      <c r="D17" s="7" t="s">
        <v>11</v>
      </c>
      <c r="E17" s="7" t="s">
        <v>12</v>
      </c>
      <c r="F17" s="8">
        <f t="shared" ref="F17:L18" si="1">IFERROR(AVERAGEIFS(F$2:F$16,$D$2:$D$16,$D17,$E$2:$E$16,$E17),"")</f>
        <v>0.7670428055880093</v>
      </c>
      <c r="G17" s="8">
        <f t="shared" si="1"/>
        <v>0.17557117773055803</v>
      </c>
      <c r="H17" s="8">
        <f t="shared" si="1"/>
        <v>5.7386016681432631E-2</v>
      </c>
      <c r="I17" s="8">
        <f t="shared" si="1"/>
        <v>0.31024340707630871</v>
      </c>
      <c r="J17" s="8">
        <f t="shared" si="1"/>
        <v>0.29642754827427453</v>
      </c>
      <c r="K17" s="8">
        <f t="shared" si="1"/>
        <v>0.3507278658836287</v>
      </c>
      <c r="L17" s="8">
        <f t="shared" si="1"/>
        <v>0.20516264610666562</v>
      </c>
      <c r="M17" s="8">
        <f t="shared" si="0"/>
        <v>0.29099999999999998</v>
      </c>
      <c r="O17" s="12"/>
      <c r="P17" s="12"/>
      <c r="Q17" s="12"/>
      <c r="R17" s="12"/>
      <c r="S17" s="12"/>
    </row>
    <row r="18" spans="1:19" ht="18.75" customHeight="1" x14ac:dyDescent="0.25">
      <c r="A18" s="25"/>
      <c r="B18" s="27"/>
      <c r="C18" s="24" t="s">
        <v>29</v>
      </c>
      <c r="D18" s="7" t="s">
        <v>21</v>
      </c>
      <c r="E18" s="7" t="s">
        <v>12</v>
      </c>
      <c r="F18" s="8">
        <f t="shared" si="1"/>
        <v>0.66399170274170261</v>
      </c>
      <c r="G18" s="8">
        <f t="shared" si="1"/>
        <v>0.28965187590187591</v>
      </c>
      <c r="H18" s="8">
        <f t="shared" si="1"/>
        <v>4.635642135642136E-2</v>
      </c>
      <c r="I18" s="8">
        <f t="shared" si="1"/>
        <v>0.34667902284752278</v>
      </c>
      <c r="J18" s="8">
        <f t="shared" si="1"/>
        <v>0.31787493632756136</v>
      </c>
      <c r="K18" s="8">
        <f t="shared" si="1"/>
        <v>0.42526470057720062</v>
      </c>
      <c r="L18" s="8">
        <f t="shared" si="1"/>
        <v>0.31431024531024526</v>
      </c>
      <c r="M18" s="8">
        <f t="shared" si="0"/>
        <v>0.35099999999999998</v>
      </c>
      <c r="O18" s="12"/>
      <c r="P18" s="12"/>
      <c r="Q18" s="12"/>
      <c r="R18" s="12"/>
      <c r="S18" s="12"/>
    </row>
  </sheetData>
  <pageMargins left="0.7" right="0.7" top="0.75" bottom="0.75" header="0.3" footer="0.3"/>
  <ignoredErrors>
    <ignoredError sqref="M2 M3:M1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18"/>
  <sheetViews>
    <sheetView workbookViewId="0">
      <selection activeCell="G1" sqref="G1:J1"/>
    </sheetView>
  </sheetViews>
  <sheetFormatPr baseColWidth="10" defaultColWidth="9.140625" defaultRowHeight="15" x14ac:dyDescent="0.25"/>
  <cols>
    <col min="1" max="1" width="12.42578125" style="9" bestFit="1" customWidth="1"/>
    <col min="2" max="3" width="13.5703125" style="9" bestFit="1" customWidth="1"/>
    <col min="4" max="10" width="13.5703125" style="10" bestFit="1" customWidth="1"/>
  </cols>
  <sheetData>
    <row r="1" spans="1:10" ht="18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18.75" customHeight="1" x14ac:dyDescent="0.25">
      <c r="A2" s="7" t="s">
        <v>10</v>
      </c>
      <c r="B2" s="7" t="s">
        <v>11</v>
      </c>
      <c r="C2" s="7" t="s">
        <v>12</v>
      </c>
      <c r="D2" s="8">
        <v>0.32142857142857145</v>
      </c>
      <c r="E2" s="8">
        <v>0.21428571428571427</v>
      </c>
      <c r="F2" s="8">
        <v>0.4642857142857143</v>
      </c>
      <c r="G2" s="8">
        <v>0.625</v>
      </c>
      <c r="H2" s="8">
        <v>0.57499999999999996</v>
      </c>
      <c r="I2" s="8">
        <v>0.36734642857142852</v>
      </c>
      <c r="J2" s="8">
        <f t="shared" ref="J2:J18" si="0">IFERROR(ROUND(AVERAGE(G2:I2),3),"")</f>
        <v>0.52200000000000002</v>
      </c>
    </row>
    <row r="3" spans="1:10" ht="18.75" customHeight="1" x14ac:dyDescent="0.25">
      <c r="A3" s="7" t="s">
        <v>13</v>
      </c>
      <c r="B3" s="7" t="s">
        <v>11</v>
      </c>
      <c r="C3" s="7" t="s">
        <v>12</v>
      </c>
      <c r="D3" s="8">
        <v>5.8823529411764705E-2</v>
      </c>
      <c r="E3" s="8">
        <v>0.44117647058823528</v>
      </c>
      <c r="F3" s="8">
        <v>0.5</v>
      </c>
      <c r="G3" s="8">
        <v>0.72058823529411764</v>
      </c>
      <c r="H3" s="8">
        <v>0.58529411764705885</v>
      </c>
      <c r="I3" s="8">
        <v>0.67646470588235319</v>
      </c>
      <c r="J3" s="8">
        <f t="shared" si="0"/>
        <v>0.66100000000000003</v>
      </c>
    </row>
    <row r="4" spans="1:10" ht="18.75" customHeight="1" x14ac:dyDescent="0.25">
      <c r="A4" s="7" t="s">
        <v>14</v>
      </c>
      <c r="B4" s="7" t="s">
        <v>11</v>
      </c>
      <c r="C4" s="7" t="s">
        <v>12</v>
      </c>
      <c r="D4" s="8">
        <v>0.1388888888888889</v>
      </c>
      <c r="E4" s="8">
        <v>0.33333333333333331</v>
      </c>
      <c r="F4" s="8">
        <v>0.52777777777777779</v>
      </c>
      <c r="G4" s="8">
        <v>0.69444444444444442</v>
      </c>
      <c r="H4" s="8">
        <v>0.59444444444444444</v>
      </c>
      <c r="I4" s="8">
        <v>0.57738055555555579</v>
      </c>
      <c r="J4" s="8">
        <f t="shared" si="0"/>
        <v>0.622</v>
      </c>
    </row>
    <row r="5" spans="1:10" ht="18.75" customHeight="1" x14ac:dyDescent="0.25">
      <c r="A5" s="7" t="s">
        <v>15</v>
      </c>
      <c r="B5" s="7" t="s">
        <v>11</v>
      </c>
      <c r="C5" s="7" t="s">
        <v>12</v>
      </c>
      <c r="D5" s="8">
        <v>0.2</v>
      </c>
      <c r="E5" s="8">
        <v>0.2857142857142857</v>
      </c>
      <c r="F5" s="8">
        <v>0.51428571428571423</v>
      </c>
      <c r="G5" s="8">
        <v>0.70714285714285707</v>
      </c>
      <c r="H5" s="8">
        <v>0.54714285714285715</v>
      </c>
      <c r="I5" s="8">
        <v>0.45306857142857132</v>
      </c>
      <c r="J5" s="8">
        <f t="shared" si="0"/>
        <v>0.56899999999999995</v>
      </c>
    </row>
    <row r="6" spans="1:10" ht="18.75" customHeight="1" x14ac:dyDescent="0.25">
      <c r="A6" s="7" t="s">
        <v>16</v>
      </c>
      <c r="B6" s="7" t="s">
        <v>11</v>
      </c>
      <c r="C6" s="7" t="s">
        <v>12</v>
      </c>
      <c r="D6" s="8">
        <v>0.12121212121212122</v>
      </c>
      <c r="E6" s="8">
        <v>0.30303030303030304</v>
      </c>
      <c r="F6" s="8">
        <v>0.5757575757575758</v>
      </c>
      <c r="G6" s="8">
        <v>0.6742424242424242</v>
      </c>
      <c r="H6" s="8">
        <v>0.57272727272727275</v>
      </c>
      <c r="I6" s="8">
        <v>0.56709393939393959</v>
      </c>
      <c r="J6" s="8">
        <f t="shared" si="0"/>
        <v>0.60499999999999998</v>
      </c>
    </row>
    <row r="7" spans="1:10" ht="18.75" customHeight="1" x14ac:dyDescent="0.25">
      <c r="A7" s="7" t="s">
        <v>17</v>
      </c>
      <c r="B7" s="7" t="s">
        <v>11</v>
      </c>
      <c r="C7" s="7" t="s">
        <v>12</v>
      </c>
      <c r="D7" s="8">
        <v>0.32258064516129031</v>
      </c>
      <c r="E7" s="8">
        <v>0.25806451612903225</v>
      </c>
      <c r="F7" s="8">
        <v>0.41935483870967744</v>
      </c>
      <c r="G7" s="8">
        <v>0.67741935483870963</v>
      </c>
      <c r="H7" s="8">
        <v>0.55483870967741933</v>
      </c>
      <c r="I7" s="8">
        <v>0.36635161290322577</v>
      </c>
      <c r="J7" s="8">
        <f t="shared" si="0"/>
        <v>0.53300000000000003</v>
      </c>
    </row>
    <row r="8" spans="1:10" ht="18.75" customHeight="1" x14ac:dyDescent="0.25">
      <c r="A8" s="7" t="s">
        <v>18</v>
      </c>
      <c r="B8" s="7" t="s">
        <v>11</v>
      </c>
      <c r="C8" s="7" t="s">
        <v>12</v>
      </c>
      <c r="D8" s="8">
        <v>0.36363636363636365</v>
      </c>
      <c r="E8" s="8">
        <v>0.21212121212121213</v>
      </c>
      <c r="F8" s="8">
        <v>0.42424242424242425</v>
      </c>
      <c r="G8" s="8">
        <v>0.61363636363636365</v>
      </c>
      <c r="H8" s="8">
        <v>0.47121212121212125</v>
      </c>
      <c r="I8" s="8">
        <v>0.46320909090909085</v>
      </c>
      <c r="J8" s="8">
        <f t="shared" si="0"/>
        <v>0.51600000000000001</v>
      </c>
    </row>
    <row r="9" spans="1:10" ht="18.75" customHeight="1" x14ac:dyDescent="0.25">
      <c r="A9" s="7" t="s">
        <v>19</v>
      </c>
      <c r="B9" s="7" t="s">
        <v>11</v>
      </c>
      <c r="C9" s="7" t="s">
        <v>12</v>
      </c>
      <c r="D9" s="8">
        <v>0.27272727272727271</v>
      </c>
      <c r="E9" s="8">
        <v>0.36363636363636365</v>
      </c>
      <c r="F9" s="8">
        <v>0.36363636363636365</v>
      </c>
      <c r="G9" s="8">
        <v>0.56060606060606066</v>
      </c>
      <c r="H9" s="8">
        <v>0.5060606060606061</v>
      </c>
      <c r="I9" s="8">
        <v>0.4783484848484848</v>
      </c>
      <c r="J9" s="8">
        <f t="shared" si="0"/>
        <v>0.51500000000000001</v>
      </c>
    </row>
    <row r="10" spans="1:10" ht="18.75" customHeight="1" x14ac:dyDescent="0.25">
      <c r="A10" s="7" t="s">
        <v>20</v>
      </c>
      <c r="B10" s="7" t="s">
        <v>21</v>
      </c>
      <c r="C10" s="7" t="s">
        <v>12</v>
      </c>
      <c r="D10" s="8">
        <v>0.2</v>
      </c>
      <c r="E10" s="8">
        <v>0.26666666666666666</v>
      </c>
      <c r="F10" s="8">
        <v>0.53333333333333333</v>
      </c>
      <c r="G10" s="8">
        <v>0.72222666666666679</v>
      </c>
      <c r="H10" s="8">
        <v>0.59710333333333343</v>
      </c>
      <c r="I10" s="8">
        <v>0.59166666666666667</v>
      </c>
      <c r="J10" s="8">
        <f t="shared" si="0"/>
        <v>0.63700000000000001</v>
      </c>
    </row>
    <row r="11" spans="1:10" ht="18.75" customHeight="1" x14ac:dyDescent="0.25">
      <c r="A11" s="7" t="s">
        <v>22</v>
      </c>
      <c r="B11" s="7" t="s">
        <v>21</v>
      </c>
      <c r="C11" s="7" t="s">
        <v>12</v>
      </c>
      <c r="D11" s="8">
        <v>4.1666666666666664E-2</v>
      </c>
      <c r="E11" s="8">
        <v>0.375</v>
      </c>
      <c r="F11" s="8">
        <v>0.58333333333333337</v>
      </c>
      <c r="G11" s="8">
        <v>0.8750083333333335</v>
      </c>
      <c r="H11" s="8">
        <v>0.59602083333333322</v>
      </c>
      <c r="I11" s="8">
        <v>0.44010416666666663</v>
      </c>
      <c r="J11" s="8">
        <f t="shared" si="0"/>
        <v>0.63700000000000001</v>
      </c>
    </row>
    <row r="12" spans="1:10" ht="18.75" customHeight="1" x14ac:dyDescent="0.25">
      <c r="A12" s="7" t="s">
        <v>23</v>
      </c>
      <c r="B12" s="7" t="s">
        <v>21</v>
      </c>
      <c r="C12" s="7" t="s">
        <v>12</v>
      </c>
      <c r="D12" s="8">
        <v>0.19354838709677419</v>
      </c>
      <c r="E12" s="8">
        <v>0.38709677419354838</v>
      </c>
      <c r="F12" s="8">
        <v>0.41935483870967744</v>
      </c>
      <c r="G12" s="8">
        <v>0.73118709677419358</v>
      </c>
      <c r="H12" s="8">
        <v>0.53015161290322577</v>
      </c>
      <c r="I12" s="8">
        <v>0.40322580645161288</v>
      </c>
      <c r="J12" s="8">
        <f t="shared" si="0"/>
        <v>0.55500000000000005</v>
      </c>
    </row>
    <row r="13" spans="1:10" ht="18.75" customHeight="1" x14ac:dyDescent="0.25">
      <c r="A13" s="7" t="s">
        <v>24</v>
      </c>
      <c r="B13" s="7" t="s">
        <v>21</v>
      </c>
      <c r="C13" s="7" t="s">
        <v>12</v>
      </c>
      <c r="D13" s="8">
        <v>0.35294117647058826</v>
      </c>
      <c r="E13" s="8">
        <v>0.41176470588235292</v>
      </c>
      <c r="F13" s="8">
        <v>0.23529411764705882</v>
      </c>
      <c r="G13" s="8">
        <v>0.58823529411764697</v>
      </c>
      <c r="H13" s="8">
        <v>0.43223529411764688</v>
      </c>
      <c r="I13" s="8">
        <v>0.41911764705882354</v>
      </c>
      <c r="J13" s="8">
        <f t="shared" si="0"/>
        <v>0.48</v>
      </c>
    </row>
    <row r="14" spans="1:10" ht="18.75" customHeight="1" x14ac:dyDescent="0.25">
      <c r="A14" s="7" t="s">
        <v>25</v>
      </c>
      <c r="B14" s="7" t="s">
        <v>21</v>
      </c>
      <c r="C14" s="7" t="s">
        <v>12</v>
      </c>
      <c r="D14" s="8">
        <v>0.25</v>
      </c>
      <c r="E14" s="8">
        <v>0.39285714285714285</v>
      </c>
      <c r="F14" s="8">
        <v>0.35714285714285715</v>
      </c>
      <c r="G14" s="8">
        <v>0.6428571428571429</v>
      </c>
      <c r="H14" s="8">
        <v>0.53882857142857155</v>
      </c>
      <c r="I14" s="8">
        <v>0.39732142857142855</v>
      </c>
      <c r="J14" s="8">
        <f t="shared" si="0"/>
        <v>0.52600000000000002</v>
      </c>
    </row>
    <row r="15" spans="1:10" ht="18.75" customHeight="1" x14ac:dyDescent="0.25">
      <c r="A15" s="7" t="s">
        <v>26</v>
      </c>
      <c r="B15" s="7" t="s">
        <v>21</v>
      </c>
      <c r="C15" s="7" t="s">
        <v>12</v>
      </c>
      <c r="D15" s="8">
        <v>3.2258064516129031E-2</v>
      </c>
      <c r="E15" s="8">
        <v>0.16129032258064516</v>
      </c>
      <c r="F15" s="8">
        <v>0.80645161290322576</v>
      </c>
      <c r="G15" s="8">
        <v>0.89247419354838708</v>
      </c>
      <c r="H15" s="8">
        <v>0.71529032258064518</v>
      </c>
      <c r="I15" s="8">
        <v>0.61088709677419351</v>
      </c>
      <c r="J15" s="8">
        <f t="shared" si="0"/>
        <v>0.74</v>
      </c>
    </row>
    <row r="16" spans="1:10" ht="18.75" customHeight="1" x14ac:dyDescent="0.25">
      <c r="A16" s="7" t="s">
        <v>27</v>
      </c>
      <c r="B16" s="7" t="s">
        <v>21</v>
      </c>
      <c r="C16" s="7" t="s">
        <v>12</v>
      </c>
      <c r="D16" s="8">
        <v>6.4516129032258063E-2</v>
      </c>
      <c r="E16" s="8">
        <v>3.2258064516129031E-2</v>
      </c>
      <c r="F16" s="8">
        <v>0.90322580645161288</v>
      </c>
      <c r="G16" s="8">
        <v>0.88172580645161303</v>
      </c>
      <c r="H16" s="8">
        <v>0.69285161290322572</v>
      </c>
      <c r="I16" s="8">
        <v>0.625</v>
      </c>
      <c r="J16" s="8">
        <f t="shared" si="0"/>
        <v>0.73299999999999998</v>
      </c>
    </row>
    <row r="17" spans="1:10" ht="18.75" customHeight="1" x14ac:dyDescent="0.25">
      <c r="A17" s="7" t="s">
        <v>28</v>
      </c>
      <c r="B17" s="7" t="s">
        <v>11</v>
      </c>
      <c r="C17" s="7" t="s">
        <v>12</v>
      </c>
      <c r="D17" s="8">
        <f t="shared" ref="D17:I18" si="1">IFERROR(AVERAGEIFS(D$2:D$16,$B$2:$B$16,$B17,$C$2:$C$16,$C17),"")</f>
        <v>0.22491217405828415</v>
      </c>
      <c r="E17" s="8">
        <f t="shared" si="1"/>
        <v>0.30142027485480993</v>
      </c>
      <c r="F17" s="8">
        <f t="shared" si="1"/>
        <v>0.47366755108690595</v>
      </c>
      <c r="G17" s="8">
        <f t="shared" si="1"/>
        <v>0.65913496752562217</v>
      </c>
      <c r="H17" s="8">
        <f t="shared" si="1"/>
        <v>0.55084001611397249</v>
      </c>
      <c r="I17" s="8">
        <f t="shared" si="1"/>
        <v>0.49365792368658129</v>
      </c>
      <c r="J17" s="8">
        <f t="shared" si="0"/>
        <v>0.56799999999999995</v>
      </c>
    </row>
    <row r="18" spans="1:10" ht="18.75" customHeight="1" x14ac:dyDescent="0.25">
      <c r="A18" s="7" t="s">
        <v>29</v>
      </c>
      <c r="B18" s="7" t="s">
        <v>21</v>
      </c>
      <c r="C18" s="7" t="s">
        <v>12</v>
      </c>
      <c r="D18" s="8">
        <f t="shared" si="1"/>
        <v>0.16213291768320229</v>
      </c>
      <c r="E18" s="8">
        <f t="shared" si="1"/>
        <v>0.28956195381378358</v>
      </c>
      <c r="F18" s="8">
        <f t="shared" si="1"/>
        <v>0.54830512850301416</v>
      </c>
      <c r="G18" s="8">
        <f t="shared" si="1"/>
        <v>0.76195921910699771</v>
      </c>
      <c r="H18" s="8">
        <f t="shared" si="1"/>
        <v>0.58606879722856886</v>
      </c>
      <c r="I18" s="8">
        <f t="shared" si="1"/>
        <v>0.49818897316991312</v>
      </c>
      <c r="J18" s="8">
        <f t="shared" si="0"/>
        <v>0.61499999999999999</v>
      </c>
    </row>
  </sheetData>
  <pageMargins left="0.7" right="0.7" top="0.75" bottom="0.75" header="0.3" footer="0.3"/>
  <ignoredErrors>
    <ignoredError sqref="J2:J18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D2E6-D3E1-4CCD-A700-1303E31935A9}">
  <dimension ref="A1:N41"/>
  <sheetViews>
    <sheetView topLeftCell="B25" workbookViewId="0">
      <selection activeCell="E38" sqref="E38:E41"/>
    </sheetView>
  </sheetViews>
  <sheetFormatPr baseColWidth="10" defaultRowHeight="15" x14ac:dyDescent="0.25"/>
  <cols>
    <col min="1" max="1" width="11.140625" customWidth="1"/>
    <col min="2" max="2" width="21.42578125" customWidth="1"/>
    <col min="3" max="3" width="19.42578125" customWidth="1"/>
    <col min="4" max="4" width="19.42578125" bestFit="1" customWidth="1"/>
    <col min="5" max="7" width="12.85546875" customWidth="1"/>
    <col min="8" max="8" width="13.42578125" customWidth="1"/>
    <col min="9" max="14" width="12.85546875" customWidth="1"/>
  </cols>
  <sheetData>
    <row r="1" spans="1:14" x14ac:dyDescent="0.25">
      <c r="A1" s="41" t="s">
        <v>39</v>
      </c>
      <c r="B1" s="42" t="s">
        <v>38</v>
      </c>
      <c r="C1" s="43" t="s">
        <v>40</v>
      </c>
      <c r="D1" s="44" t="s">
        <v>41</v>
      </c>
      <c r="E1" s="45" t="s">
        <v>1</v>
      </c>
      <c r="F1" s="46" t="s">
        <v>3</v>
      </c>
      <c r="G1" s="47" t="s">
        <v>4</v>
      </c>
      <c r="H1" s="46" t="s">
        <v>5</v>
      </c>
      <c r="I1" s="48" t="s">
        <v>30</v>
      </c>
      <c r="J1" s="48" t="s">
        <v>31</v>
      </c>
      <c r="K1" s="48" t="s">
        <v>32</v>
      </c>
      <c r="L1" s="48" t="s">
        <v>33</v>
      </c>
      <c r="M1" s="48" t="s">
        <v>54</v>
      </c>
      <c r="N1" s="49" t="s">
        <v>34</v>
      </c>
    </row>
    <row r="2" spans="1:14" x14ac:dyDescent="0.25">
      <c r="A2" s="50">
        <v>2026</v>
      </c>
      <c r="B2" s="39" t="s">
        <v>42</v>
      </c>
      <c r="C2" s="39" t="s">
        <v>43</v>
      </c>
      <c r="D2" s="39" t="s">
        <v>44</v>
      </c>
      <c r="E2" s="39" t="s">
        <v>45</v>
      </c>
      <c r="F2" s="40">
        <v>0</v>
      </c>
      <c r="G2" s="40">
        <v>0.2857142857142857</v>
      </c>
      <c r="H2" s="40">
        <v>0.7142857142857143</v>
      </c>
      <c r="I2" s="40">
        <v>0.80408163265306132</v>
      </c>
      <c r="J2" s="40">
        <v>0.7857142857142857</v>
      </c>
      <c r="K2" s="40">
        <v>0.73469387755102045</v>
      </c>
      <c r="L2" s="40">
        <v>0.8571428571428571</v>
      </c>
      <c r="M2" s="40">
        <v>0.88436530612244912</v>
      </c>
      <c r="N2" s="51">
        <v>0.81318571428571418</v>
      </c>
    </row>
    <row r="3" spans="1:14" x14ac:dyDescent="0.25">
      <c r="A3" s="50">
        <v>2026</v>
      </c>
      <c r="B3" s="39" t="s">
        <v>42</v>
      </c>
      <c r="C3" s="39" t="s">
        <v>43</v>
      </c>
      <c r="D3" s="39" t="s">
        <v>44</v>
      </c>
      <c r="E3" s="39" t="s">
        <v>46</v>
      </c>
      <c r="F3" s="40">
        <v>0.26666666666666666</v>
      </c>
      <c r="G3" s="40">
        <v>0.53333333333333333</v>
      </c>
      <c r="H3" s="40">
        <v>0.2</v>
      </c>
      <c r="I3" s="40">
        <v>0.5674688888888888</v>
      </c>
      <c r="J3" s="40">
        <v>0.52222222222222225</v>
      </c>
      <c r="K3" s="40">
        <v>0.74444444444444446</v>
      </c>
      <c r="L3" s="40">
        <v>0.65926666666666678</v>
      </c>
      <c r="M3" s="40">
        <v>0.52222222222222225</v>
      </c>
      <c r="N3" s="51">
        <v>0.60313111111111128</v>
      </c>
    </row>
    <row r="4" spans="1:14" x14ac:dyDescent="0.25">
      <c r="A4" s="50">
        <v>2026</v>
      </c>
      <c r="B4" s="39" t="s">
        <v>42</v>
      </c>
      <c r="C4" s="39" t="s">
        <v>43</v>
      </c>
      <c r="D4" s="39" t="s">
        <v>44</v>
      </c>
      <c r="E4" s="39" t="s">
        <v>47</v>
      </c>
      <c r="F4" s="40">
        <v>0.29166666666666669</v>
      </c>
      <c r="G4" s="40">
        <v>0.64583333333333337</v>
      </c>
      <c r="H4" s="40">
        <v>6.25E-2</v>
      </c>
      <c r="I4" s="40">
        <v>0.51282708333333316</v>
      </c>
      <c r="J4" s="40">
        <v>0.63195208333333341</v>
      </c>
      <c r="K4" s="40">
        <v>0.75</v>
      </c>
      <c r="L4" s="40">
        <v>0.34166666666666662</v>
      </c>
      <c r="M4" s="40">
        <v>0.625</v>
      </c>
      <c r="N4" s="51">
        <v>0.57228749999999995</v>
      </c>
    </row>
    <row r="5" spans="1:14" x14ac:dyDescent="0.25">
      <c r="A5" s="50">
        <v>2026</v>
      </c>
      <c r="B5" s="39" t="s">
        <v>42</v>
      </c>
      <c r="C5" s="39" t="s">
        <v>43</v>
      </c>
      <c r="D5" s="39" t="s">
        <v>44</v>
      </c>
      <c r="E5" s="39" t="s">
        <v>48</v>
      </c>
      <c r="F5" s="40">
        <v>0.50617283950617287</v>
      </c>
      <c r="G5" s="40">
        <v>0.46913580246913578</v>
      </c>
      <c r="H5" s="40">
        <v>2.4691358024691357E-2</v>
      </c>
      <c r="I5" s="40">
        <v>0.44664691358024688</v>
      </c>
      <c r="J5" s="40">
        <v>0.38271234567901224</v>
      </c>
      <c r="K5" s="40">
        <v>0.55556419753086439</v>
      </c>
      <c r="L5" s="40">
        <v>0.31790123456790126</v>
      </c>
      <c r="M5" s="40">
        <v>0.37036543209876532</v>
      </c>
      <c r="N5" s="51">
        <v>0.41463703703703692</v>
      </c>
    </row>
    <row r="6" spans="1:14" x14ac:dyDescent="0.25">
      <c r="A6" s="50">
        <v>2026</v>
      </c>
      <c r="B6" s="39" t="s">
        <v>42</v>
      </c>
      <c r="C6" s="39" t="s">
        <v>43</v>
      </c>
      <c r="D6" s="39" t="s">
        <v>44</v>
      </c>
      <c r="E6" s="39" t="s">
        <v>49</v>
      </c>
      <c r="F6" s="40">
        <v>0.48979591836734693</v>
      </c>
      <c r="G6" s="40">
        <v>0.48979591836734693</v>
      </c>
      <c r="H6" s="40">
        <v>2.0408163265306121E-2</v>
      </c>
      <c r="I6" s="40">
        <v>0.35164693877551018</v>
      </c>
      <c r="J6" s="40">
        <v>0.70408163265306134</v>
      </c>
      <c r="K6" s="40">
        <v>0.4642857142857143</v>
      </c>
      <c r="L6" s="40">
        <v>0.28571428571428575</v>
      </c>
      <c r="M6" s="40">
        <v>0.50510204081632648</v>
      </c>
      <c r="N6" s="51">
        <v>0.46216326530612245</v>
      </c>
    </row>
    <row r="7" spans="1:14" x14ac:dyDescent="0.25">
      <c r="A7" s="50">
        <v>2026</v>
      </c>
      <c r="B7" s="39" t="s">
        <v>42</v>
      </c>
      <c r="C7" s="39" t="s">
        <v>43</v>
      </c>
      <c r="D7" s="39" t="s">
        <v>44</v>
      </c>
      <c r="E7" s="39" t="s">
        <v>50</v>
      </c>
      <c r="F7" s="40">
        <v>0.703125</v>
      </c>
      <c r="G7" s="40">
        <v>0.296875</v>
      </c>
      <c r="H7" s="40">
        <v>0</v>
      </c>
      <c r="I7" s="40">
        <v>0.36433125</v>
      </c>
      <c r="J7" s="40">
        <v>0.33158437499999999</v>
      </c>
      <c r="K7" s="40">
        <v>0.359375</v>
      </c>
      <c r="L7" s="40">
        <v>0</v>
      </c>
      <c r="M7" s="40">
        <v>0.32031093749999989</v>
      </c>
      <c r="N7" s="51">
        <v>0.34389999999999993</v>
      </c>
    </row>
    <row r="8" spans="1:14" x14ac:dyDescent="0.25">
      <c r="A8" s="50">
        <v>2026</v>
      </c>
      <c r="B8" s="39" t="s">
        <v>42</v>
      </c>
      <c r="C8" s="39" t="s">
        <v>43</v>
      </c>
      <c r="D8" s="39" t="s">
        <v>51</v>
      </c>
      <c r="E8" s="39" t="s">
        <v>45</v>
      </c>
      <c r="F8" s="40">
        <v>0.20370370370370369</v>
      </c>
      <c r="G8" s="40">
        <v>0.29629629629629628</v>
      </c>
      <c r="H8" s="40">
        <v>0.5</v>
      </c>
      <c r="I8" s="40">
        <v>0.56166084656084658</v>
      </c>
      <c r="J8" s="40">
        <v>0.57407407407407407</v>
      </c>
      <c r="K8" s="40">
        <v>0.58642407407407415</v>
      </c>
      <c r="L8" s="40">
        <v>0.66203703703703709</v>
      </c>
      <c r="M8" s="40">
        <v>0.73148148148148151</v>
      </c>
      <c r="N8" s="51">
        <v>0.59564259259259256</v>
      </c>
    </row>
    <row r="9" spans="1:14" x14ac:dyDescent="0.25">
      <c r="A9" s="50">
        <v>2026</v>
      </c>
      <c r="B9" s="39" t="s">
        <v>42</v>
      </c>
      <c r="C9" s="39" t="s">
        <v>43</v>
      </c>
      <c r="D9" s="39" t="s">
        <v>51</v>
      </c>
      <c r="E9" s="39" t="s">
        <v>46</v>
      </c>
      <c r="F9" s="40">
        <v>0.22950819672131148</v>
      </c>
      <c r="G9" s="40">
        <v>0.39344262295081966</v>
      </c>
      <c r="H9" s="40">
        <v>0.37704918032786883</v>
      </c>
      <c r="I9" s="40">
        <v>0.48794918032786905</v>
      </c>
      <c r="J9" s="40">
        <v>0.57650245901639341</v>
      </c>
      <c r="K9" s="40">
        <v>0.31147540983606559</v>
      </c>
      <c r="L9" s="40">
        <v>0.63934426229508201</v>
      </c>
      <c r="M9" s="40">
        <v>0.68032786885245899</v>
      </c>
      <c r="N9" s="51">
        <v>0.53711147540983606</v>
      </c>
    </row>
    <row r="10" spans="1:14" x14ac:dyDescent="0.25">
      <c r="A10" s="50">
        <v>2026</v>
      </c>
      <c r="B10" s="39" t="s">
        <v>42</v>
      </c>
      <c r="C10" s="39" t="s">
        <v>43</v>
      </c>
      <c r="D10" s="39" t="s">
        <v>51</v>
      </c>
      <c r="E10" s="39" t="s">
        <v>47</v>
      </c>
      <c r="F10" s="40">
        <v>0.2857142857142857</v>
      </c>
      <c r="G10" s="40">
        <v>0.54285714285714282</v>
      </c>
      <c r="H10" s="40">
        <v>0.17142857142857143</v>
      </c>
      <c r="I10" s="40">
        <v>0.39115553571428568</v>
      </c>
      <c r="J10" s="40">
        <v>0.38214285714285717</v>
      </c>
      <c r="K10" s="40">
        <v>0.56785714285714284</v>
      </c>
      <c r="L10" s="40">
        <v>0.6753985714285714</v>
      </c>
      <c r="M10" s="40">
        <v>0.42857142857142855</v>
      </c>
      <c r="N10" s="51">
        <v>0.46339714285714295</v>
      </c>
    </row>
    <row r="11" spans="1:14" x14ac:dyDescent="0.25">
      <c r="A11" s="50">
        <v>2026</v>
      </c>
      <c r="B11" s="39" t="s">
        <v>42</v>
      </c>
      <c r="C11" s="39" t="s">
        <v>43</v>
      </c>
      <c r="D11" s="39" t="s">
        <v>51</v>
      </c>
      <c r="E11" s="39" t="s">
        <v>48</v>
      </c>
      <c r="F11" s="40">
        <v>0.17307692307692307</v>
      </c>
      <c r="G11" s="40">
        <v>0.46153846153846156</v>
      </c>
      <c r="H11" s="40">
        <v>0.36538461538461536</v>
      </c>
      <c r="I11" s="40">
        <v>0.50333830128205148</v>
      </c>
      <c r="J11" s="40">
        <v>0.56923076923076921</v>
      </c>
      <c r="K11" s="40">
        <v>0.69872788461538482</v>
      </c>
      <c r="L11" s="40">
        <v>0.53526153846153857</v>
      </c>
      <c r="M11" s="40">
        <v>0.453125</v>
      </c>
      <c r="N11" s="51">
        <v>0.53565576923076941</v>
      </c>
    </row>
    <row r="12" spans="1:14" x14ac:dyDescent="0.25">
      <c r="A12" s="50">
        <v>2026</v>
      </c>
      <c r="B12" s="39" t="s">
        <v>42</v>
      </c>
      <c r="C12" s="39" t="s">
        <v>43</v>
      </c>
      <c r="D12" s="39" t="s">
        <v>51</v>
      </c>
      <c r="E12" s="39" t="s">
        <v>49</v>
      </c>
      <c r="F12" s="40">
        <v>0.43103448275862066</v>
      </c>
      <c r="G12" s="40">
        <v>0.36206896551724138</v>
      </c>
      <c r="H12" s="40">
        <v>0.20689655172413793</v>
      </c>
      <c r="I12" s="40">
        <v>0.45852241379310343</v>
      </c>
      <c r="J12" s="40">
        <v>0.35991379310344823</v>
      </c>
      <c r="K12" s="40">
        <v>0.54885603448275877</v>
      </c>
      <c r="L12" s="40">
        <v>0</v>
      </c>
      <c r="M12" s="40">
        <v>0.44181034482758619</v>
      </c>
      <c r="N12" s="51">
        <v>0.45297068965517229</v>
      </c>
    </row>
    <row r="13" spans="1:14" x14ac:dyDescent="0.25">
      <c r="A13" s="50">
        <v>2026</v>
      </c>
      <c r="B13" s="39" t="s">
        <v>42</v>
      </c>
      <c r="C13" s="39" t="s">
        <v>43</v>
      </c>
      <c r="D13" s="39" t="s">
        <v>51</v>
      </c>
      <c r="E13" s="39" t="s">
        <v>50</v>
      </c>
      <c r="F13" s="40">
        <v>0.27710843373493976</v>
      </c>
      <c r="G13" s="40">
        <v>0.40963855421686746</v>
      </c>
      <c r="H13" s="40">
        <v>0.31325301204819278</v>
      </c>
      <c r="I13" s="40">
        <v>0.54217068273092373</v>
      </c>
      <c r="J13" s="40">
        <v>0.45180542168674698</v>
      </c>
      <c r="K13" s="40">
        <v>0.46586325301204817</v>
      </c>
      <c r="L13" s="40">
        <v>0</v>
      </c>
      <c r="M13" s="40">
        <v>0.57028192771084341</v>
      </c>
      <c r="N13" s="51">
        <v>0.5172674698795181</v>
      </c>
    </row>
    <row r="14" spans="1:14" x14ac:dyDescent="0.25">
      <c r="A14" s="50">
        <v>2026</v>
      </c>
      <c r="B14" s="39" t="s">
        <v>52</v>
      </c>
      <c r="C14" s="39" t="s">
        <v>43</v>
      </c>
      <c r="D14" s="39" t="s">
        <v>44</v>
      </c>
      <c r="E14" s="39" t="s">
        <v>45</v>
      </c>
      <c r="F14" s="40">
        <v>3.7037037037037035E-2</v>
      </c>
      <c r="G14" s="40">
        <v>0.46296296296296297</v>
      </c>
      <c r="H14" s="40">
        <v>0.5</v>
      </c>
      <c r="I14" s="40">
        <v>0.74814814814814812</v>
      </c>
      <c r="J14" s="40">
        <v>0.75925925925925919</v>
      </c>
      <c r="K14" s="40">
        <v>0.71296296296296291</v>
      </c>
      <c r="L14" s="40">
        <v>0.85185185185185186</v>
      </c>
      <c r="M14" s="40">
        <v>0.70372037037037061</v>
      </c>
      <c r="N14" s="51">
        <v>0.75516851851851829</v>
      </c>
    </row>
    <row r="15" spans="1:14" x14ac:dyDescent="0.25">
      <c r="A15" s="50">
        <v>2026</v>
      </c>
      <c r="B15" s="39" t="s">
        <v>52</v>
      </c>
      <c r="C15" s="39" t="s">
        <v>43</v>
      </c>
      <c r="D15" s="39" t="s">
        <v>44</v>
      </c>
      <c r="E15" s="39" t="s">
        <v>46</v>
      </c>
      <c r="F15" s="40">
        <v>0.37777777777777777</v>
      </c>
      <c r="G15" s="40">
        <v>0.55555555555555558</v>
      </c>
      <c r="H15" s="40">
        <v>6.6666666666666666E-2</v>
      </c>
      <c r="I15" s="40">
        <v>0.49206000000000005</v>
      </c>
      <c r="J15" s="40">
        <v>0.4777777777777778</v>
      </c>
      <c r="K15" s="40">
        <v>0.77777777777777768</v>
      </c>
      <c r="L15" s="40">
        <v>0.54074222222222201</v>
      </c>
      <c r="M15" s="40">
        <v>0.4777777777777778</v>
      </c>
      <c r="N15" s="51">
        <v>0.55323111111111101</v>
      </c>
    </row>
    <row r="16" spans="1:14" x14ac:dyDescent="0.25">
      <c r="A16" s="50">
        <v>2026</v>
      </c>
      <c r="B16" s="39" t="s">
        <v>52</v>
      </c>
      <c r="C16" s="39" t="s">
        <v>43</v>
      </c>
      <c r="D16" s="39" t="s">
        <v>44</v>
      </c>
      <c r="E16" s="39" t="s">
        <v>47</v>
      </c>
      <c r="F16" s="40">
        <v>0.33870967741935482</v>
      </c>
      <c r="G16" s="40">
        <v>0.56451612903225812</v>
      </c>
      <c r="H16" s="40">
        <v>9.6774193548387094E-2</v>
      </c>
      <c r="I16" s="40">
        <v>0.47953064516129035</v>
      </c>
      <c r="J16" s="40">
        <v>0.63441290322580657</v>
      </c>
      <c r="K16" s="40">
        <v>0.62096774193548387</v>
      </c>
      <c r="L16" s="40">
        <v>0.3612903225806452</v>
      </c>
      <c r="M16" s="40">
        <v>0.66935483870967749</v>
      </c>
      <c r="N16" s="51">
        <v>0.55311290322580631</v>
      </c>
    </row>
    <row r="17" spans="1:14" x14ac:dyDescent="0.25">
      <c r="A17" s="50">
        <v>2026</v>
      </c>
      <c r="B17" s="39" t="s">
        <v>52</v>
      </c>
      <c r="C17" s="39" t="s">
        <v>43</v>
      </c>
      <c r="D17" s="39" t="s">
        <v>44</v>
      </c>
      <c r="E17" s="39" t="s">
        <v>48</v>
      </c>
      <c r="F17" s="40">
        <v>0.38805970149253732</v>
      </c>
      <c r="G17" s="40">
        <v>0.55223880597014929</v>
      </c>
      <c r="H17" s="40">
        <v>5.9701492537313432E-2</v>
      </c>
      <c r="I17" s="40">
        <v>0.52344925373134332</v>
      </c>
      <c r="J17" s="40">
        <v>0.46268059701492542</v>
      </c>
      <c r="K17" s="40">
        <v>0.59204925373134332</v>
      </c>
      <c r="L17" s="40">
        <v>0.30970149253731344</v>
      </c>
      <c r="M17" s="40">
        <v>0.56716417910447769</v>
      </c>
      <c r="N17" s="51">
        <v>0.49101343283582083</v>
      </c>
    </row>
    <row r="18" spans="1:14" x14ac:dyDescent="0.25">
      <c r="A18" s="50">
        <v>2026</v>
      </c>
      <c r="B18" s="39" t="s">
        <v>52</v>
      </c>
      <c r="C18" s="39" t="s">
        <v>43</v>
      </c>
      <c r="D18" s="39" t="s">
        <v>44</v>
      </c>
      <c r="E18" s="39" t="s">
        <v>49</v>
      </c>
      <c r="F18" s="40">
        <v>0.5625</v>
      </c>
      <c r="G18" s="40">
        <v>0.4375</v>
      </c>
      <c r="H18" s="40">
        <v>0</v>
      </c>
      <c r="I18" s="40">
        <v>0.46314374999999991</v>
      </c>
      <c r="J18" s="40">
        <v>0.55729166666666663</v>
      </c>
      <c r="K18" s="40">
        <v>0.31770833333333331</v>
      </c>
      <c r="L18" s="40">
        <v>0.1875</v>
      </c>
      <c r="M18" s="40">
        <v>0.5859375</v>
      </c>
      <c r="N18" s="51">
        <v>0.4223229166666666</v>
      </c>
    </row>
    <row r="19" spans="1:14" x14ac:dyDescent="0.25">
      <c r="A19" s="50">
        <v>2026</v>
      </c>
      <c r="B19" s="39" t="s">
        <v>52</v>
      </c>
      <c r="C19" s="39" t="s">
        <v>43</v>
      </c>
      <c r="D19" s="39" t="s">
        <v>44</v>
      </c>
      <c r="E19" s="39" t="s">
        <v>50</v>
      </c>
      <c r="F19" s="40">
        <v>0.35</v>
      </c>
      <c r="G19" s="40">
        <v>0.6</v>
      </c>
      <c r="H19" s="40">
        <v>0.05</v>
      </c>
      <c r="I19" s="40">
        <v>0.45680999999999977</v>
      </c>
      <c r="J19" s="40">
        <v>0.47962499999999997</v>
      </c>
      <c r="K19" s="40">
        <v>0.4</v>
      </c>
      <c r="L19" s="40">
        <v>0</v>
      </c>
      <c r="M19" s="40">
        <v>0.50277500000000008</v>
      </c>
      <c r="N19" s="51">
        <v>0.45980666666666664</v>
      </c>
    </row>
    <row r="20" spans="1:14" x14ac:dyDescent="0.25">
      <c r="A20" s="50">
        <v>2026</v>
      </c>
      <c r="B20" s="39" t="s">
        <v>52</v>
      </c>
      <c r="C20" s="39" t="s">
        <v>43</v>
      </c>
      <c r="D20" s="39" t="s">
        <v>51</v>
      </c>
      <c r="E20" s="39" t="s">
        <v>45</v>
      </c>
      <c r="F20" s="40">
        <v>0.17391304347826086</v>
      </c>
      <c r="G20" s="40">
        <v>0.2391304347826087</v>
      </c>
      <c r="H20" s="40">
        <v>0.58695652173913049</v>
      </c>
      <c r="I20" s="40">
        <v>0.60874720496894386</v>
      </c>
      <c r="J20" s="40">
        <v>0.45652173913043476</v>
      </c>
      <c r="K20" s="40">
        <v>0.69565434782608704</v>
      </c>
      <c r="L20" s="40">
        <v>0.61956521739130432</v>
      </c>
      <c r="M20" s="40">
        <v>0.73913043478260876</v>
      </c>
      <c r="N20" s="51">
        <v>0.61596956521739121</v>
      </c>
    </row>
    <row r="21" spans="1:14" x14ac:dyDescent="0.25">
      <c r="A21" s="50">
        <v>2026</v>
      </c>
      <c r="B21" s="39" t="s">
        <v>52</v>
      </c>
      <c r="C21" s="39" t="s">
        <v>43</v>
      </c>
      <c r="D21" s="39" t="s">
        <v>51</v>
      </c>
      <c r="E21" s="39" t="s">
        <v>46</v>
      </c>
      <c r="F21" s="40">
        <v>0.3392857142857143</v>
      </c>
      <c r="G21" s="40">
        <v>0.32142857142857145</v>
      </c>
      <c r="H21" s="40">
        <v>0.3392857142857143</v>
      </c>
      <c r="I21" s="40">
        <v>0.43941862244897967</v>
      </c>
      <c r="J21" s="40">
        <v>0.52455357142857151</v>
      </c>
      <c r="K21" s="40">
        <v>0.25</v>
      </c>
      <c r="L21" s="40">
        <v>0.5625</v>
      </c>
      <c r="M21" s="40">
        <v>0.63392857142857151</v>
      </c>
      <c r="N21" s="51">
        <v>0.48342321428571433</v>
      </c>
    </row>
    <row r="22" spans="1:14" x14ac:dyDescent="0.25">
      <c r="A22" s="50">
        <v>2026</v>
      </c>
      <c r="B22" s="39" t="s">
        <v>52</v>
      </c>
      <c r="C22" s="39" t="s">
        <v>43</v>
      </c>
      <c r="D22" s="39" t="s">
        <v>51</v>
      </c>
      <c r="E22" s="39" t="s">
        <v>47</v>
      </c>
      <c r="F22" s="40">
        <v>0.44615384615384618</v>
      </c>
      <c r="G22" s="40">
        <v>0.44615384615384618</v>
      </c>
      <c r="H22" s="40">
        <v>0.1076923076923077</v>
      </c>
      <c r="I22" s="40">
        <v>0.33269192307692314</v>
      </c>
      <c r="J22" s="40">
        <v>0.34423076923076917</v>
      </c>
      <c r="K22" s="40">
        <v>0.56153846153846154</v>
      </c>
      <c r="L22" s="40">
        <v>0.58632615384615383</v>
      </c>
      <c r="M22" s="40">
        <v>0.39743589743589747</v>
      </c>
      <c r="N22" s="51">
        <v>0.41245999999999972</v>
      </c>
    </row>
    <row r="23" spans="1:14" x14ac:dyDescent="0.25">
      <c r="A23" s="50">
        <v>2026</v>
      </c>
      <c r="B23" s="39" t="s">
        <v>52</v>
      </c>
      <c r="C23" s="39" t="s">
        <v>43</v>
      </c>
      <c r="D23" s="39" t="s">
        <v>51</v>
      </c>
      <c r="E23" s="39" t="s">
        <v>48</v>
      </c>
      <c r="F23" s="40">
        <v>0.27692307692307694</v>
      </c>
      <c r="G23" s="40">
        <v>0.46153846153846156</v>
      </c>
      <c r="H23" s="40">
        <v>0.26153846153846155</v>
      </c>
      <c r="I23" s="40">
        <v>0.4327589743589742</v>
      </c>
      <c r="J23" s="40">
        <v>0.48</v>
      </c>
      <c r="K23" s="40">
        <v>0.61538846153846161</v>
      </c>
      <c r="L23" s="40">
        <v>0.49487615384615391</v>
      </c>
      <c r="M23" s="40">
        <v>0.52884615384615385</v>
      </c>
      <c r="N23" s="51">
        <v>0.48882923076923068</v>
      </c>
    </row>
    <row r="24" spans="1:14" x14ac:dyDescent="0.25">
      <c r="A24" s="50">
        <v>2026</v>
      </c>
      <c r="B24" s="39" t="s">
        <v>52</v>
      </c>
      <c r="C24" s="39" t="s">
        <v>43</v>
      </c>
      <c r="D24" s="39" t="s">
        <v>51</v>
      </c>
      <c r="E24" s="39" t="s">
        <v>49</v>
      </c>
      <c r="F24" s="40">
        <v>0.41891891891891891</v>
      </c>
      <c r="G24" s="40">
        <v>0.43243243243243246</v>
      </c>
      <c r="H24" s="40">
        <v>0.14864864864864866</v>
      </c>
      <c r="I24" s="40">
        <v>0.45975810810810808</v>
      </c>
      <c r="J24" s="40">
        <v>0.33614864864864863</v>
      </c>
      <c r="K24" s="40">
        <v>0.51239256756756768</v>
      </c>
      <c r="L24" s="40">
        <v>0</v>
      </c>
      <c r="M24" s="40">
        <v>0.42539324324324318</v>
      </c>
      <c r="N24" s="51">
        <v>0.43634324324324325</v>
      </c>
    </row>
    <row r="25" spans="1:14" x14ac:dyDescent="0.25">
      <c r="A25" s="50">
        <v>2026</v>
      </c>
      <c r="B25" s="39" t="s">
        <v>52</v>
      </c>
      <c r="C25" s="39" t="s">
        <v>43</v>
      </c>
      <c r="D25" s="39" t="s">
        <v>51</v>
      </c>
      <c r="E25" s="39" t="s">
        <v>50</v>
      </c>
      <c r="F25" s="40">
        <v>0.19178082191780821</v>
      </c>
      <c r="G25" s="40">
        <v>0.46575342465753422</v>
      </c>
      <c r="H25" s="40">
        <v>0.34246575342465752</v>
      </c>
      <c r="I25" s="40">
        <v>0.55479497716894977</v>
      </c>
      <c r="J25" s="40">
        <v>0.54452191780821912</v>
      </c>
      <c r="K25" s="40">
        <v>0.51598082191780814</v>
      </c>
      <c r="L25" s="40">
        <v>0</v>
      </c>
      <c r="M25" s="40">
        <v>0.54490091324200907</v>
      </c>
      <c r="N25" s="51">
        <v>0.54200821917808217</v>
      </c>
    </row>
    <row r="26" spans="1:14" x14ac:dyDescent="0.25">
      <c r="A26" s="50">
        <v>2026</v>
      </c>
      <c r="B26" s="39" t="s">
        <v>53</v>
      </c>
      <c r="C26" s="39" t="s">
        <v>43</v>
      </c>
      <c r="D26" s="39" t="s">
        <v>44</v>
      </c>
      <c r="E26" s="39" t="s">
        <v>45</v>
      </c>
      <c r="F26" s="40">
        <v>0.13414634146341464</v>
      </c>
      <c r="G26" s="40">
        <v>0.52439024390243905</v>
      </c>
      <c r="H26" s="40">
        <v>0.34146341463414637</v>
      </c>
      <c r="I26" s="40">
        <v>0.63048780487804879</v>
      </c>
      <c r="J26" s="40">
        <v>0.65243902439024393</v>
      </c>
      <c r="K26" s="40">
        <v>0.60365853658536583</v>
      </c>
      <c r="L26" s="40">
        <v>0.71951219512195119</v>
      </c>
      <c r="M26" s="40">
        <v>0.68293658536585378</v>
      </c>
      <c r="N26" s="51">
        <v>0.65779512195121925</v>
      </c>
    </row>
    <row r="27" spans="1:14" x14ac:dyDescent="0.25">
      <c r="A27" s="50">
        <v>2026</v>
      </c>
      <c r="B27" s="39" t="s">
        <v>53</v>
      </c>
      <c r="C27" s="39" t="s">
        <v>43</v>
      </c>
      <c r="D27" s="39" t="s">
        <v>44</v>
      </c>
      <c r="E27" s="39" t="s">
        <v>46</v>
      </c>
      <c r="F27" s="40">
        <v>0.10204081632653061</v>
      </c>
      <c r="G27" s="40">
        <v>0.58163265306122447</v>
      </c>
      <c r="H27" s="40">
        <v>0.31632653061224492</v>
      </c>
      <c r="I27" s="40">
        <v>0.70954795918367364</v>
      </c>
      <c r="J27" s="40">
        <v>0.75510204081632648</v>
      </c>
      <c r="K27" s="40">
        <v>0.81632653061224492</v>
      </c>
      <c r="L27" s="40">
        <v>0.5782326530612244</v>
      </c>
      <c r="M27" s="40">
        <v>0.60714285714285721</v>
      </c>
      <c r="N27" s="51">
        <v>0.69327142857142843</v>
      </c>
    </row>
    <row r="28" spans="1:14" x14ac:dyDescent="0.25">
      <c r="A28" s="50">
        <v>2026</v>
      </c>
      <c r="B28" s="39" t="s">
        <v>53</v>
      </c>
      <c r="C28" s="39" t="s">
        <v>43</v>
      </c>
      <c r="D28" s="39" t="s">
        <v>44</v>
      </c>
      <c r="E28" s="39" t="s">
        <v>47</v>
      </c>
      <c r="F28" s="40">
        <v>0.14166666666666666</v>
      </c>
      <c r="G28" s="40">
        <v>0.49166666666666664</v>
      </c>
      <c r="H28" s="40">
        <v>0.36666666666666664</v>
      </c>
      <c r="I28" s="40">
        <v>0.64968250000000016</v>
      </c>
      <c r="J28" s="40">
        <v>0.73611583333333341</v>
      </c>
      <c r="K28" s="40">
        <v>0.77500000000000002</v>
      </c>
      <c r="L28" s="40">
        <v>0.56666666666666665</v>
      </c>
      <c r="M28" s="40">
        <v>0.7416666666666667</v>
      </c>
      <c r="N28" s="51">
        <v>0.69382333333333379</v>
      </c>
    </row>
    <row r="29" spans="1:14" x14ac:dyDescent="0.25">
      <c r="A29" s="50">
        <v>2026</v>
      </c>
      <c r="B29" s="39" t="s">
        <v>53</v>
      </c>
      <c r="C29" s="39" t="s">
        <v>43</v>
      </c>
      <c r="D29" s="39" t="s">
        <v>44</v>
      </c>
      <c r="E29" s="39" t="s">
        <v>48</v>
      </c>
      <c r="F29" s="40">
        <v>0.33613445378151263</v>
      </c>
      <c r="G29" s="40">
        <v>0.5714285714285714</v>
      </c>
      <c r="H29" s="40">
        <v>9.2436974789915971E-2</v>
      </c>
      <c r="I29" s="40">
        <v>0.53391092436974796</v>
      </c>
      <c r="J29" s="40">
        <v>0.42016638655462191</v>
      </c>
      <c r="K29" s="40">
        <v>0.58823781512605045</v>
      </c>
      <c r="L29" s="40">
        <v>0.35714285714285715</v>
      </c>
      <c r="M29" s="40">
        <v>0.49019411764705878</v>
      </c>
      <c r="N29" s="51">
        <v>0.47792521008403355</v>
      </c>
    </row>
    <row r="30" spans="1:14" x14ac:dyDescent="0.25">
      <c r="A30" s="50">
        <v>2026</v>
      </c>
      <c r="B30" s="39" t="s">
        <v>53</v>
      </c>
      <c r="C30" s="39" t="s">
        <v>43</v>
      </c>
      <c r="D30" s="39" t="s">
        <v>44</v>
      </c>
      <c r="E30" s="39" t="s">
        <v>49</v>
      </c>
      <c r="F30" s="40">
        <v>9.0090090090090086E-2</v>
      </c>
      <c r="G30" s="40">
        <v>0.63963963963963966</v>
      </c>
      <c r="H30" s="40">
        <v>0.27027027027027029</v>
      </c>
      <c r="I30" s="40">
        <v>0.60845945945945934</v>
      </c>
      <c r="J30" s="40">
        <v>0.83108108108108114</v>
      </c>
      <c r="K30" s="40">
        <v>0.71846846846846846</v>
      </c>
      <c r="L30" s="40">
        <v>0.55630630630630629</v>
      </c>
      <c r="M30" s="40">
        <v>0.60923423423423417</v>
      </c>
      <c r="N30" s="51">
        <v>0.66470540540540579</v>
      </c>
    </row>
    <row r="31" spans="1:14" x14ac:dyDescent="0.25">
      <c r="A31" s="50">
        <v>2026</v>
      </c>
      <c r="B31" s="39" t="s">
        <v>53</v>
      </c>
      <c r="C31" s="39" t="s">
        <v>43</v>
      </c>
      <c r="D31" s="39" t="s">
        <v>44</v>
      </c>
      <c r="E31" s="39" t="s">
        <v>50</v>
      </c>
      <c r="F31" s="40">
        <v>0.56302521008403361</v>
      </c>
      <c r="G31" s="40">
        <v>0.36974789915966388</v>
      </c>
      <c r="H31" s="40">
        <v>6.7226890756302518E-2</v>
      </c>
      <c r="I31" s="40">
        <v>0.38462941176470578</v>
      </c>
      <c r="J31" s="40">
        <v>0.45844285714285699</v>
      </c>
      <c r="K31" s="40">
        <v>0.40336134453781514</v>
      </c>
      <c r="L31" s="40">
        <v>0</v>
      </c>
      <c r="M31" s="40">
        <v>0.39775966386554612</v>
      </c>
      <c r="N31" s="51">
        <v>0.41104789915966372</v>
      </c>
    </row>
    <row r="32" spans="1:14" x14ac:dyDescent="0.25">
      <c r="A32" s="50">
        <v>2026</v>
      </c>
      <c r="B32" s="39" t="s">
        <v>53</v>
      </c>
      <c r="C32" s="39" t="s">
        <v>43</v>
      </c>
      <c r="D32" s="39" t="s">
        <v>51</v>
      </c>
      <c r="E32" s="39" t="s">
        <v>45</v>
      </c>
      <c r="F32" s="40">
        <v>0.24324324324324326</v>
      </c>
      <c r="G32" s="40">
        <v>0.28378378378378377</v>
      </c>
      <c r="H32" s="40">
        <v>0.47297297297297297</v>
      </c>
      <c r="I32" s="40">
        <v>0.53684034749034737</v>
      </c>
      <c r="J32" s="40">
        <v>0.54054054054054057</v>
      </c>
      <c r="K32" s="40">
        <v>0.5360364864864865</v>
      </c>
      <c r="L32" s="40">
        <v>0.6283783783783784</v>
      </c>
      <c r="M32" s="40">
        <v>0.69594594594594594</v>
      </c>
      <c r="N32" s="51">
        <v>0.56560135135135114</v>
      </c>
    </row>
    <row r="33" spans="1:14" x14ac:dyDescent="0.25">
      <c r="A33" s="50">
        <v>2026</v>
      </c>
      <c r="B33" s="39" t="s">
        <v>53</v>
      </c>
      <c r="C33" s="39" t="s">
        <v>43</v>
      </c>
      <c r="D33" s="39" t="s">
        <v>51</v>
      </c>
      <c r="E33" s="39" t="s">
        <v>46</v>
      </c>
      <c r="F33" s="40">
        <v>6.25E-2</v>
      </c>
      <c r="G33" s="40">
        <v>0.33333333333333331</v>
      </c>
      <c r="H33" s="40">
        <v>0.60416666666666663</v>
      </c>
      <c r="I33" s="40">
        <v>0.58076309523809566</v>
      </c>
      <c r="J33" s="40">
        <v>0.67144062500000001</v>
      </c>
      <c r="K33" s="40">
        <v>0.57291666666666663</v>
      </c>
      <c r="L33" s="40">
        <v>0.75</v>
      </c>
      <c r="M33" s="40">
        <v>0.78645833333333326</v>
      </c>
      <c r="N33" s="51">
        <v>0.6467197916666666</v>
      </c>
    </row>
    <row r="34" spans="1:14" x14ac:dyDescent="0.25">
      <c r="A34" s="50">
        <v>2026</v>
      </c>
      <c r="B34" s="39" t="s">
        <v>53</v>
      </c>
      <c r="C34" s="39" t="s">
        <v>43</v>
      </c>
      <c r="D34" s="39" t="s">
        <v>51</v>
      </c>
      <c r="E34" s="39" t="s">
        <v>47</v>
      </c>
      <c r="F34" s="40">
        <v>0.390625</v>
      </c>
      <c r="G34" s="40">
        <v>0.40625</v>
      </c>
      <c r="H34" s="40">
        <v>0.203125</v>
      </c>
      <c r="I34" s="40">
        <v>0.40278593749999997</v>
      </c>
      <c r="J34" s="40">
        <v>0.3466796875</v>
      </c>
      <c r="K34" s="40">
        <v>0.56640625</v>
      </c>
      <c r="L34" s="40">
        <v>0.56423776041666618</v>
      </c>
      <c r="M34" s="40">
        <v>0.45963541666666663</v>
      </c>
      <c r="N34" s="51">
        <v>0.45111718749999979</v>
      </c>
    </row>
    <row r="35" spans="1:14" x14ac:dyDescent="0.25">
      <c r="A35" s="50">
        <v>2026</v>
      </c>
      <c r="B35" s="39" t="s">
        <v>53</v>
      </c>
      <c r="C35" s="39" t="s">
        <v>43</v>
      </c>
      <c r="D35" s="39" t="s">
        <v>51</v>
      </c>
      <c r="E35" s="39" t="s">
        <v>48</v>
      </c>
      <c r="F35" s="40">
        <v>7.03125E-2</v>
      </c>
      <c r="G35" s="40">
        <v>0.203125</v>
      </c>
      <c r="H35" s="40">
        <v>0.7265625</v>
      </c>
      <c r="I35" s="40">
        <v>0.67849518229166661</v>
      </c>
      <c r="J35" s="40">
        <v>0.69687500000000002</v>
      </c>
      <c r="K35" s="40">
        <v>0.77865234374999914</v>
      </c>
      <c r="L35" s="40">
        <v>0.66536875000000006</v>
      </c>
      <c r="M35" s="40">
        <v>0.6845703125</v>
      </c>
      <c r="N35" s="51">
        <v>0.69423203124999988</v>
      </c>
    </row>
    <row r="36" spans="1:14" x14ac:dyDescent="0.25">
      <c r="A36" s="50">
        <v>2026</v>
      </c>
      <c r="B36" s="39" t="s">
        <v>53</v>
      </c>
      <c r="C36" s="39" t="s">
        <v>43</v>
      </c>
      <c r="D36" s="39" t="s">
        <v>51</v>
      </c>
      <c r="E36" s="39" t="s">
        <v>49</v>
      </c>
      <c r="F36" s="40">
        <v>0.18548387096774194</v>
      </c>
      <c r="G36" s="40">
        <v>0.35483870967741937</v>
      </c>
      <c r="H36" s="40">
        <v>0.45967741935483869</v>
      </c>
      <c r="I36" s="40">
        <v>0.54448763440860215</v>
      </c>
      <c r="J36" s="40">
        <v>0.49899193548387094</v>
      </c>
      <c r="K36" s="40">
        <v>0.72580766129032237</v>
      </c>
      <c r="L36" s="40">
        <v>0</v>
      </c>
      <c r="M36" s="40">
        <v>0.56955685483870966</v>
      </c>
      <c r="N36" s="51">
        <v>0.5802459677419356</v>
      </c>
    </row>
    <row r="37" spans="1:14" x14ac:dyDescent="0.25">
      <c r="A37" s="50">
        <v>2026</v>
      </c>
      <c r="B37" s="39" t="s">
        <v>53</v>
      </c>
      <c r="C37" s="39" t="s">
        <v>43</v>
      </c>
      <c r="D37" s="39" t="s">
        <v>51</v>
      </c>
      <c r="E37" s="39" t="s">
        <v>50</v>
      </c>
      <c r="F37" s="40">
        <v>0.19379844961240311</v>
      </c>
      <c r="G37" s="40">
        <v>0.34883720930232559</v>
      </c>
      <c r="H37" s="40">
        <v>0.4573643410852713</v>
      </c>
      <c r="I37" s="40">
        <v>0.61050826873385</v>
      </c>
      <c r="J37" s="40">
        <v>0.51808604651162793</v>
      </c>
      <c r="K37" s="40">
        <v>0.53165542635658913</v>
      </c>
      <c r="L37" s="40">
        <v>0</v>
      </c>
      <c r="M37" s="40">
        <v>0.59538888888888908</v>
      </c>
      <c r="N37" s="40">
        <v>0.57171782945736438</v>
      </c>
    </row>
    <row r="38" spans="1:14" x14ac:dyDescent="0.25">
      <c r="A38" s="50">
        <v>2026</v>
      </c>
      <c r="B38" s="40" t="s">
        <v>57</v>
      </c>
      <c r="C38" s="39" t="s">
        <v>43</v>
      </c>
      <c r="D38" s="40" t="s">
        <v>51</v>
      </c>
      <c r="E38" s="39" t="s">
        <v>11</v>
      </c>
      <c r="F38" s="40">
        <v>0.6301186369368188</v>
      </c>
      <c r="G38" s="40">
        <v>0.28768882518882521</v>
      </c>
      <c r="H38" s="40">
        <v>8.2192537874356042E-2</v>
      </c>
      <c r="I38" s="40">
        <v>0.38680809132775046</v>
      </c>
      <c r="J38" s="40">
        <v>0.37389538298629205</v>
      </c>
      <c r="K38" s="40">
        <v>0.37879495852552675</v>
      </c>
      <c r="L38" s="40">
        <v>0.21198829196448515</v>
      </c>
      <c r="M38" s="40"/>
      <c r="N38" s="40">
        <v>0.33787168120101357</v>
      </c>
    </row>
    <row r="39" spans="1:14" x14ac:dyDescent="0.25">
      <c r="A39" s="50">
        <v>2026</v>
      </c>
      <c r="B39" s="39" t="s">
        <v>57</v>
      </c>
      <c r="C39" s="39" t="s">
        <v>43</v>
      </c>
      <c r="D39" s="40" t="s">
        <v>51</v>
      </c>
      <c r="E39" s="39" t="s">
        <v>21</v>
      </c>
      <c r="F39" s="40">
        <v>0.73620492009604921</v>
      </c>
      <c r="G39" s="40">
        <v>0.21554033322178484</v>
      </c>
      <c r="H39" s="40">
        <v>4.825474668216604E-2</v>
      </c>
      <c r="I39" s="40">
        <v>0.33403246918234214</v>
      </c>
      <c r="J39" s="40">
        <v>0.30533560177607966</v>
      </c>
      <c r="K39" s="40">
        <v>0.33658782912311136</v>
      </c>
      <c r="L39" s="40">
        <v>0.26125668813975267</v>
      </c>
      <c r="M39" s="40"/>
      <c r="N39" s="40">
        <v>0.30930314705532147</v>
      </c>
    </row>
    <row r="40" spans="1:14" x14ac:dyDescent="0.25">
      <c r="A40" s="50">
        <v>2026</v>
      </c>
      <c r="B40" s="40" t="s">
        <v>58</v>
      </c>
      <c r="C40" s="39" t="s">
        <v>43</v>
      </c>
      <c r="D40" s="40" t="s">
        <v>51</v>
      </c>
      <c r="E40" s="39" t="s">
        <v>11</v>
      </c>
      <c r="F40" s="40">
        <v>0.63721689055393171</v>
      </c>
      <c r="G40" s="40">
        <v>0.21504231025226575</v>
      </c>
      <c r="H40" s="40">
        <v>0.14774079919380251</v>
      </c>
      <c r="I40" s="40">
        <v>0.37560324588882354</v>
      </c>
      <c r="J40" s="40">
        <v>0.38080186609476968</v>
      </c>
      <c r="K40" s="40">
        <v>0.38653100187711908</v>
      </c>
      <c r="L40" s="40">
        <v>0.28662205622204751</v>
      </c>
      <c r="M40" s="40"/>
      <c r="N40" s="40">
        <v>0.35738954252069</v>
      </c>
    </row>
    <row r="41" spans="1:14" x14ac:dyDescent="0.25">
      <c r="A41" s="52">
        <v>2026</v>
      </c>
      <c r="B41" s="53" t="s">
        <v>58</v>
      </c>
      <c r="C41" s="53" t="s">
        <v>43</v>
      </c>
      <c r="D41" s="54" t="s">
        <v>51</v>
      </c>
      <c r="E41" s="39" t="s">
        <v>21</v>
      </c>
      <c r="F41" s="40">
        <v>0.7829624717555751</v>
      </c>
      <c r="G41" s="40">
        <v>0.15947385548678653</v>
      </c>
      <c r="H41" s="40">
        <v>5.7563672757638275E-2</v>
      </c>
      <c r="I41" s="40">
        <v>0.30763713306808138</v>
      </c>
      <c r="J41" s="40">
        <v>0.28555623814962178</v>
      </c>
      <c r="K41" s="40">
        <v>0.31015885953924749</v>
      </c>
      <c r="L41" s="40">
        <v>0.29811603546517346</v>
      </c>
      <c r="M41" s="40"/>
      <c r="N41" s="40">
        <v>0.30036706655553103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AE5B-C20B-4DEF-A7F6-B50B97C6DCC0}">
  <dimension ref="A1:L44"/>
  <sheetViews>
    <sheetView tabSelected="1" workbookViewId="0">
      <selection activeCell="G42" sqref="G42"/>
    </sheetView>
  </sheetViews>
  <sheetFormatPr baseColWidth="10" defaultRowHeight="15" x14ac:dyDescent="0.25"/>
  <cols>
    <col min="2" max="2" width="21.42578125" customWidth="1"/>
    <col min="3" max="3" width="14.5703125" customWidth="1"/>
    <col min="4" max="4" width="19.42578125" bestFit="1" customWidth="1"/>
    <col min="7" max="7" width="12.28515625" customWidth="1"/>
    <col min="8" max="8" width="13.42578125" customWidth="1"/>
    <col min="12" max="12" width="12.28515625" customWidth="1"/>
  </cols>
  <sheetData>
    <row r="1" spans="1:12" x14ac:dyDescent="0.25">
      <c r="A1" s="29" t="s">
        <v>39</v>
      </c>
      <c r="B1" s="29" t="s">
        <v>38</v>
      </c>
      <c r="C1" s="30" t="s">
        <v>40</v>
      </c>
      <c r="D1" s="31" t="s">
        <v>41</v>
      </c>
      <c r="E1" s="32" t="s">
        <v>1</v>
      </c>
      <c r="F1" s="33" t="s">
        <v>3</v>
      </c>
      <c r="G1" s="34" t="s">
        <v>4</v>
      </c>
      <c r="H1" s="33" t="s">
        <v>5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7">
        <v>2026</v>
      </c>
      <c r="B2" s="7" t="s">
        <v>42</v>
      </c>
      <c r="C2" s="7" t="s">
        <v>55</v>
      </c>
      <c r="D2" s="15" t="s">
        <v>44</v>
      </c>
      <c r="E2" s="37" t="s">
        <v>45</v>
      </c>
      <c r="F2" s="15">
        <v>0.12</v>
      </c>
      <c r="G2" s="15">
        <v>0.42</v>
      </c>
      <c r="H2" s="15">
        <v>0.46</v>
      </c>
      <c r="I2" s="15">
        <v>0.7</v>
      </c>
      <c r="J2" s="15">
        <v>0.64833199999999991</v>
      </c>
      <c r="K2" s="15">
        <v>0.54</v>
      </c>
      <c r="L2" s="15">
        <v>0.62944600000000006</v>
      </c>
    </row>
    <row r="3" spans="1:12" x14ac:dyDescent="0.25">
      <c r="A3" s="7">
        <v>2026</v>
      </c>
      <c r="B3" s="7" t="s">
        <v>42</v>
      </c>
      <c r="C3" s="7" t="s">
        <v>55</v>
      </c>
      <c r="D3" s="15" t="s">
        <v>44</v>
      </c>
      <c r="E3" s="37" t="s">
        <v>46</v>
      </c>
      <c r="F3" s="15">
        <v>0.02</v>
      </c>
      <c r="G3" s="15">
        <v>0.6</v>
      </c>
      <c r="H3" s="15">
        <v>0.38</v>
      </c>
      <c r="I3" s="15">
        <v>0.73599999999999999</v>
      </c>
      <c r="J3" s="15">
        <v>0.75466399999999989</v>
      </c>
      <c r="K3" s="15">
        <v>0.61499999999999999</v>
      </c>
      <c r="L3" s="15">
        <v>0.7018859999999999</v>
      </c>
    </row>
    <row r="4" spans="1:12" x14ac:dyDescent="0.25">
      <c r="A4" s="7">
        <v>2026</v>
      </c>
      <c r="B4" s="7" t="s">
        <v>42</v>
      </c>
      <c r="C4" s="7" t="s">
        <v>55</v>
      </c>
      <c r="D4" s="15" t="s">
        <v>44</v>
      </c>
      <c r="E4" s="37" t="s">
        <v>47</v>
      </c>
      <c r="F4" s="15">
        <v>5.0847457627118647E-2</v>
      </c>
      <c r="G4" s="15">
        <v>0.6271186440677966</v>
      </c>
      <c r="H4" s="15">
        <v>0.32203389830508472</v>
      </c>
      <c r="I4" s="15">
        <v>0.61016440677966088</v>
      </c>
      <c r="J4" s="15">
        <v>0.6451271186440678</v>
      </c>
      <c r="K4" s="15">
        <v>0.64406779661016955</v>
      </c>
      <c r="L4" s="15">
        <v>0.63311186440677969</v>
      </c>
    </row>
    <row r="5" spans="1:12" x14ac:dyDescent="0.25">
      <c r="A5" s="7">
        <v>2026</v>
      </c>
      <c r="B5" s="7" t="s">
        <v>42</v>
      </c>
      <c r="C5" s="7" t="s">
        <v>55</v>
      </c>
      <c r="D5" s="15" t="s">
        <v>44</v>
      </c>
      <c r="E5" s="37" t="s">
        <v>48</v>
      </c>
      <c r="F5" s="15">
        <v>0.23655913978494625</v>
      </c>
      <c r="G5" s="15">
        <v>0.63440860215053763</v>
      </c>
      <c r="H5" s="15">
        <v>0.12903225806451613</v>
      </c>
      <c r="I5" s="15">
        <v>0.58243655913978498</v>
      </c>
      <c r="J5" s="15">
        <v>0.52625698924731201</v>
      </c>
      <c r="K5" s="15">
        <v>0.40591397849462368</v>
      </c>
      <c r="L5" s="15">
        <v>0.50486989247311842</v>
      </c>
    </row>
    <row r="6" spans="1:12" x14ac:dyDescent="0.25">
      <c r="A6" s="7">
        <v>2026</v>
      </c>
      <c r="B6" s="7" t="s">
        <v>42</v>
      </c>
      <c r="C6" s="7" t="s">
        <v>55</v>
      </c>
      <c r="D6" s="15" t="s">
        <v>44</v>
      </c>
      <c r="E6" s="37" t="s">
        <v>49</v>
      </c>
      <c r="F6" s="15">
        <v>0.22033898305084745</v>
      </c>
      <c r="G6" s="15">
        <v>0.50847457627118642</v>
      </c>
      <c r="H6" s="15">
        <v>0.2711864406779661</v>
      </c>
      <c r="I6" s="15">
        <v>0.70847457627118648</v>
      </c>
      <c r="J6" s="15">
        <v>0.56645593220338974</v>
      </c>
      <c r="K6" s="15">
        <v>0.42584745762711862</v>
      </c>
      <c r="L6" s="15">
        <v>0.56692881355932234</v>
      </c>
    </row>
    <row r="7" spans="1:12" x14ac:dyDescent="0.25">
      <c r="A7" s="7">
        <v>2026</v>
      </c>
      <c r="B7" s="7" t="s">
        <v>42</v>
      </c>
      <c r="C7" s="7" t="s">
        <v>55</v>
      </c>
      <c r="D7" s="15" t="s">
        <v>44</v>
      </c>
      <c r="E7" s="37" t="s">
        <v>50</v>
      </c>
      <c r="F7" s="15">
        <v>0.21621621621621623</v>
      </c>
      <c r="G7" s="15">
        <v>0.68918918918918914</v>
      </c>
      <c r="H7" s="15">
        <v>9.45945945945946E-2</v>
      </c>
      <c r="I7" s="15">
        <v>0.66891891891891886</v>
      </c>
      <c r="J7" s="15">
        <v>0.56543108108108098</v>
      </c>
      <c r="K7" s="15">
        <v>0.40829594594594587</v>
      </c>
      <c r="L7" s="15">
        <v>0.54754459459459459</v>
      </c>
    </row>
    <row r="8" spans="1:12" x14ac:dyDescent="0.25">
      <c r="A8" s="7">
        <v>2026</v>
      </c>
      <c r="B8" s="7" t="s">
        <v>42</v>
      </c>
      <c r="C8" s="7" t="s">
        <v>55</v>
      </c>
      <c r="D8" s="15" t="s">
        <v>51</v>
      </c>
      <c r="E8" s="37" t="s">
        <v>56</v>
      </c>
      <c r="F8" s="15">
        <v>0.29268292682926828</v>
      </c>
      <c r="G8" s="15">
        <v>0.31707317073170732</v>
      </c>
      <c r="H8" s="15">
        <v>0.3902439024390244</v>
      </c>
      <c r="I8" s="15">
        <v>0.68699268292682936</v>
      </c>
      <c r="J8" s="15">
        <v>0.56585365853658542</v>
      </c>
      <c r="K8" s="15">
        <v>0.40243902439024387</v>
      </c>
      <c r="L8" s="15">
        <v>0.55176097560975623</v>
      </c>
    </row>
    <row r="9" spans="1:12" x14ac:dyDescent="0.25">
      <c r="A9" s="7">
        <v>2026</v>
      </c>
      <c r="B9" s="7" t="s">
        <v>42</v>
      </c>
      <c r="C9" s="7" t="s">
        <v>55</v>
      </c>
      <c r="D9" s="15" t="s">
        <v>51</v>
      </c>
      <c r="E9" s="37" t="s">
        <v>45</v>
      </c>
      <c r="F9" s="15">
        <v>0.4</v>
      </c>
      <c r="G9" s="15">
        <v>0.21666666666666667</v>
      </c>
      <c r="H9" s="15">
        <v>0.38333333333333336</v>
      </c>
      <c r="I9" s="15">
        <v>0.57999999999999996</v>
      </c>
      <c r="J9" s="15">
        <v>0.6153883333333332</v>
      </c>
      <c r="K9" s="15">
        <v>0.25</v>
      </c>
      <c r="L9" s="15">
        <v>0.48179666666666665</v>
      </c>
    </row>
    <row r="10" spans="1:12" x14ac:dyDescent="0.25">
      <c r="A10" s="7">
        <v>2026</v>
      </c>
      <c r="B10" s="7" t="s">
        <v>42</v>
      </c>
      <c r="C10" s="7" t="s">
        <v>55</v>
      </c>
      <c r="D10" s="15" t="s">
        <v>51</v>
      </c>
      <c r="E10" s="37" t="s">
        <v>46</v>
      </c>
      <c r="F10" s="15">
        <v>9.6774193548387094E-2</v>
      </c>
      <c r="G10" s="15">
        <v>9.6774193548387094E-2</v>
      </c>
      <c r="H10" s="15">
        <v>0.80645161290322576</v>
      </c>
      <c r="I10" s="15">
        <v>0.84676935483870963</v>
      </c>
      <c r="J10" s="15">
        <v>0.72473870967741949</v>
      </c>
      <c r="K10" s="15">
        <v>0.532258064516129</v>
      </c>
      <c r="L10" s="15">
        <v>0.70125483870967753</v>
      </c>
    </row>
    <row r="11" spans="1:12" x14ac:dyDescent="0.25">
      <c r="A11" s="7">
        <v>2026</v>
      </c>
      <c r="B11" s="7" t="s">
        <v>42</v>
      </c>
      <c r="C11" s="7" t="s">
        <v>55</v>
      </c>
      <c r="D11" s="15" t="s">
        <v>51</v>
      </c>
      <c r="E11" s="37" t="s">
        <v>47</v>
      </c>
      <c r="F11" s="15">
        <v>0.18666666666666668</v>
      </c>
      <c r="G11" s="15">
        <v>0.18666666666666668</v>
      </c>
      <c r="H11" s="15">
        <v>0.62666666666666671</v>
      </c>
      <c r="I11" s="15">
        <v>0.7466666666666667</v>
      </c>
      <c r="J11" s="15">
        <v>0.5964506666666668</v>
      </c>
      <c r="K11" s="15">
        <v>0.55000000000000004</v>
      </c>
      <c r="L11" s="15">
        <v>0.6310399999999996</v>
      </c>
    </row>
    <row r="12" spans="1:12" x14ac:dyDescent="0.25">
      <c r="A12" s="7">
        <v>2026</v>
      </c>
      <c r="B12" s="7" t="s">
        <v>42</v>
      </c>
      <c r="C12" s="7" t="s">
        <v>55</v>
      </c>
      <c r="D12" s="15" t="s">
        <v>51</v>
      </c>
      <c r="E12" s="37" t="s">
        <v>48</v>
      </c>
      <c r="F12" s="15">
        <v>0.26168224299065418</v>
      </c>
      <c r="G12" s="15">
        <v>0.44859813084112149</v>
      </c>
      <c r="H12" s="15">
        <v>0.28971962616822428</v>
      </c>
      <c r="I12" s="15">
        <v>0.52336448598130847</v>
      </c>
      <c r="J12" s="15">
        <v>0.4972943925233646</v>
      </c>
      <c r="K12" s="15">
        <v>0.51635514018691586</v>
      </c>
      <c r="L12" s="15">
        <v>0.5123392523364485</v>
      </c>
    </row>
    <row r="13" spans="1:12" x14ac:dyDescent="0.25">
      <c r="A13" s="7">
        <v>2026</v>
      </c>
      <c r="B13" s="7" t="s">
        <v>42</v>
      </c>
      <c r="C13" s="7" t="s">
        <v>55</v>
      </c>
      <c r="D13" s="15" t="s">
        <v>51</v>
      </c>
      <c r="E13" s="37" t="s">
        <v>49</v>
      </c>
      <c r="F13" s="15">
        <v>0.17741935483870969</v>
      </c>
      <c r="G13" s="15">
        <v>0.40322580645161288</v>
      </c>
      <c r="H13" s="15">
        <v>0.41935483870967744</v>
      </c>
      <c r="I13" s="15">
        <v>0.56451612903225812</v>
      </c>
      <c r="J13" s="15">
        <v>0.51867419354838729</v>
      </c>
      <c r="K13" s="15">
        <v>0.59193548387096773</v>
      </c>
      <c r="L13" s="15">
        <v>0.55837258064516138</v>
      </c>
    </row>
    <row r="14" spans="1:12" x14ac:dyDescent="0.25">
      <c r="A14" s="7">
        <v>2026</v>
      </c>
      <c r="B14" s="7" t="s">
        <v>42</v>
      </c>
      <c r="C14" s="7" t="s">
        <v>55</v>
      </c>
      <c r="D14" s="15" t="s">
        <v>51</v>
      </c>
      <c r="E14" s="37" t="s">
        <v>50</v>
      </c>
      <c r="F14" s="15">
        <v>0.1875</v>
      </c>
      <c r="G14" s="15">
        <v>0.3</v>
      </c>
      <c r="H14" s="15">
        <v>0.51249999999999996</v>
      </c>
      <c r="I14" s="15">
        <v>0.74687499999999996</v>
      </c>
      <c r="J14" s="15">
        <v>0.54874999999999996</v>
      </c>
      <c r="K14" s="15">
        <v>0.44270625000000008</v>
      </c>
      <c r="L14" s="15">
        <v>0.57944249999999986</v>
      </c>
    </row>
    <row r="15" spans="1:12" x14ac:dyDescent="0.25">
      <c r="A15" s="7">
        <v>2026</v>
      </c>
      <c r="B15" s="7" t="s">
        <v>52</v>
      </c>
      <c r="C15" s="7" t="s">
        <v>55</v>
      </c>
      <c r="D15" s="15" t="s">
        <v>44</v>
      </c>
      <c r="E15" s="37" t="s">
        <v>45</v>
      </c>
      <c r="F15" s="15">
        <v>7.8431372549019607E-2</v>
      </c>
      <c r="G15" s="15">
        <v>0.31372549019607843</v>
      </c>
      <c r="H15" s="15">
        <v>0.60784313725490191</v>
      </c>
      <c r="I15" s="15">
        <v>0.79215686274509811</v>
      </c>
      <c r="J15" s="15">
        <v>0.7058843137254901</v>
      </c>
      <c r="K15" s="15">
        <v>0.57352941176470584</v>
      </c>
      <c r="L15" s="15">
        <v>0.69052352941176465</v>
      </c>
    </row>
    <row r="16" spans="1:12" x14ac:dyDescent="0.25">
      <c r="A16" s="7">
        <v>2026</v>
      </c>
      <c r="B16" s="7" t="s">
        <v>52</v>
      </c>
      <c r="C16" s="7" t="s">
        <v>55</v>
      </c>
      <c r="D16" s="15" t="s">
        <v>44</v>
      </c>
      <c r="E16" s="37" t="s">
        <v>46</v>
      </c>
      <c r="F16" s="15">
        <v>8.1632653061224483E-2</v>
      </c>
      <c r="G16" s="15">
        <v>0.65306122448979587</v>
      </c>
      <c r="H16" s="15">
        <v>0.26530612244897961</v>
      </c>
      <c r="I16" s="15">
        <v>0.67346938775510212</v>
      </c>
      <c r="J16" s="15">
        <v>0.68571836734693892</v>
      </c>
      <c r="K16" s="15">
        <v>0.18877551020408162</v>
      </c>
      <c r="L16" s="15">
        <v>0.51598775510204087</v>
      </c>
    </row>
    <row r="17" spans="1:12" x14ac:dyDescent="0.25">
      <c r="A17" s="7">
        <v>2026</v>
      </c>
      <c r="B17" s="7" t="s">
        <v>52</v>
      </c>
      <c r="C17" s="7" t="s">
        <v>55</v>
      </c>
      <c r="D17" s="15" t="s">
        <v>44</v>
      </c>
      <c r="E17" s="37" t="s">
        <v>47</v>
      </c>
      <c r="F17" s="15">
        <v>0.125</v>
      </c>
      <c r="G17" s="15">
        <v>0.5892857142857143</v>
      </c>
      <c r="H17" s="15">
        <v>0.2857142857142857</v>
      </c>
      <c r="I17" s="15">
        <v>0.58928214285714275</v>
      </c>
      <c r="J17" s="15">
        <v>0.63392857142857151</v>
      </c>
      <c r="K17" s="15">
        <v>0.41517857142857145</v>
      </c>
      <c r="L17" s="15">
        <v>0.54613035714285718</v>
      </c>
    </row>
    <row r="18" spans="1:12" x14ac:dyDescent="0.25">
      <c r="A18" s="7">
        <v>2026</v>
      </c>
      <c r="B18" s="7" t="s">
        <v>52</v>
      </c>
      <c r="C18" s="7" t="s">
        <v>55</v>
      </c>
      <c r="D18" s="15" t="s">
        <v>44</v>
      </c>
      <c r="E18" s="37" t="s">
        <v>48</v>
      </c>
      <c r="F18" s="15">
        <v>0.16981132075471697</v>
      </c>
      <c r="G18" s="15">
        <v>0.60377358490566035</v>
      </c>
      <c r="H18" s="15">
        <v>0.22641509433962265</v>
      </c>
      <c r="I18" s="15">
        <v>0.6981094339622641</v>
      </c>
      <c r="J18" s="15">
        <v>0.61820377358490541</v>
      </c>
      <c r="K18" s="15">
        <v>0.44339622641509435</v>
      </c>
      <c r="L18" s="15">
        <v>0.58657735849056603</v>
      </c>
    </row>
    <row r="19" spans="1:12" x14ac:dyDescent="0.25">
      <c r="A19" s="7">
        <v>2026</v>
      </c>
      <c r="B19" s="7" t="s">
        <v>52</v>
      </c>
      <c r="C19" s="7" t="s">
        <v>55</v>
      </c>
      <c r="D19" s="15" t="s">
        <v>44</v>
      </c>
      <c r="E19" s="37" t="s">
        <v>49</v>
      </c>
      <c r="F19" s="15">
        <v>0.21818181818181817</v>
      </c>
      <c r="G19" s="15">
        <v>0.58181818181818179</v>
      </c>
      <c r="H19" s="15">
        <v>0.2</v>
      </c>
      <c r="I19" s="15">
        <v>0.67636363636363639</v>
      </c>
      <c r="J19" s="15">
        <v>0.51579818181818204</v>
      </c>
      <c r="K19" s="15">
        <v>0.38636363636363635</v>
      </c>
      <c r="L19" s="15">
        <v>0.52617272727272735</v>
      </c>
    </row>
    <row r="20" spans="1:12" x14ac:dyDescent="0.25">
      <c r="A20" s="7">
        <v>2026</v>
      </c>
      <c r="B20" s="7" t="s">
        <v>52</v>
      </c>
      <c r="C20" s="7" t="s">
        <v>55</v>
      </c>
      <c r="D20" s="15" t="s">
        <v>44</v>
      </c>
      <c r="E20" s="37" t="s">
        <v>50</v>
      </c>
      <c r="F20" s="15">
        <v>0.26865671641791045</v>
      </c>
      <c r="G20" s="15">
        <v>0.62686567164179108</v>
      </c>
      <c r="H20" s="15">
        <v>0.1044776119402985</v>
      </c>
      <c r="I20" s="15">
        <v>0.56343283582089554</v>
      </c>
      <c r="J20" s="15">
        <v>0.57816119402985078</v>
      </c>
      <c r="K20" s="15">
        <v>0.40831492537313435</v>
      </c>
      <c r="L20" s="15">
        <v>0.51663880597014922</v>
      </c>
    </row>
    <row r="21" spans="1:12" x14ac:dyDescent="0.25">
      <c r="A21" s="7">
        <v>2026</v>
      </c>
      <c r="B21" s="7" t="s">
        <v>52</v>
      </c>
      <c r="C21" s="7" t="s">
        <v>55</v>
      </c>
      <c r="D21" s="15" t="s">
        <v>51</v>
      </c>
      <c r="E21" s="37" t="s">
        <v>56</v>
      </c>
      <c r="F21" s="15">
        <v>0.1</v>
      </c>
      <c r="G21" s="15">
        <v>0.25</v>
      </c>
      <c r="H21" s="15">
        <v>0.65</v>
      </c>
      <c r="I21" s="15">
        <v>0.72499999999999998</v>
      </c>
      <c r="J21" s="15">
        <v>0.7</v>
      </c>
      <c r="K21" s="15">
        <v>0.55000000000000004</v>
      </c>
      <c r="L21" s="15">
        <v>0.65833499999999989</v>
      </c>
    </row>
    <row r="22" spans="1:12" x14ac:dyDescent="0.25">
      <c r="A22" s="7">
        <v>2026</v>
      </c>
      <c r="B22" s="7" t="s">
        <v>52</v>
      </c>
      <c r="C22" s="7" t="s">
        <v>55</v>
      </c>
      <c r="D22" s="15" t="s">
        <v>51</v>
      </c>
      <c r="E22" s="37" t="s">
        <v>45</v>
      </c>
      <c r="F22" s="15">
        <v>0.20408163265306123</v>
      </c>
      <c r="G22" s="15">
        <v>0.22448979591836735</v>
      </c>
      <c r="H22" s="15">
        <v>0.5714285714285714</v>
      </c>
      <c r="I22" s="15">
        <v>0.66530612244897958</v>
      </c>
      <c r="J22" s="15">
        <v>0.67739591836734681</v>
      </c>
      <c r="K22" s="15">
        <v>0.33673469387755106</v>
      </c>
      <c r="L22" s="15">
        <v>0.55981428571428582</v>
      </c>
    </row>
    <row r="23" spans="1:12" x14ac:dyDescent="0.25">
      <c r="A23" s="7">
        <v>2026</v>
      </c>
      <c r="B23" s="7" t="s">
        <v>52</v>
      </c>
      <c r="C23" s="7" t="s">
        <v>55</v>
      </c>
      <c r="D23" s="15" t="s">
        <v>51</v>
      </c>
      <c r="E23" s="37" t="s">
        <v>46</v>
      </c>
      <c r="F23" s="15">
        <v>0.19607843137254902</v>
      </c>
      <c r="G23" s="15">
        <v>0.19607843137254902</v>
      </c>
      <c r="H23" s="15">
        <v>0.60784313725490191</v>
      </c>
      <c r="I23" s="15">
        <v>0.79737843137254882</v>
      </c>
      <c r="J23" s="15">
        <v>0.7058803921568626</v>
      </c>
      <c r="K23" s="15">
        <v>0.37254901960784315</v>
      </c>
      <c r="L23" s="15">
        <v>0.62526078431372545</v>
      </c>
    </row>
    <row r="24" spans="1:12" x14ac:dyDescent="0.25">
      <c r="A24" s="7">
        <v>2026</v>
      </c>
      <c r="B24" s="7" t="s">
        <v>52</v>
      </c>
      <c r="C24" s="7" t="s">
        <v>55</v>
      </c>
      <c r="D24" s="15" t="s">
        <v>51</v>
      </c>
      <c r="E24" s="37" t="s">
        <v>47</v>
      </c>
      <c r="F24" s="15">
        <v>0.25423728813559321</v>
      </c>
      <c r="G24" s="15">
        <v>0.30508474576271188</v>
      </c>
      <c r="H24" s="15">
        <v>0.44067796610169491</v>
      </c>
      <c r="I24" s="15">
        <v>0.71398305084745761</v>
      </c>
      <c r="J24" s="15">
        <v>0.60565084745762698</v>
      </c>
      <c r="K24" s="15">
        <v>0.3135593220338983</v>
      </c>
      <c r="L24" s="15">
        <v>0.54439830508474574</v>
      </c>
    </row>
    <row r="25" spans="1:12" x14ac:dyDescent="0.25">
      <c r="A25" s="7">
        <v>2026</v>
      </c>
      <c r="B25" s="7" t="s">
        <v>52</v>
      </c>
      <c r="C25" s="7" t="s">
        <v>55</v>
      </c>
      <c r="D25" s="15" t="s">
        <v>51</v>
      </c>
      <c r="E25" s="37" t="s">
        <v>48</v>
      </c>
      <c r="F25" s="15">
        <v>0.28169014084507044</v>
      </c>
      <c r="G25" s="15">
        <v>0.40845070422535212</v>
      </c>
      <c r="H25" s="15">
        <v>0.30985915492957744</v>
      </c>
      <c r="I25" s="15">
        <v>0.59859154929577463</v>
      </c>
      <c r="J25" s="15">
        <v>0.52557464788732366</v>
      </c>
      <c r="K25" s="15">
        <v>0.42957746478873238</v>
      </c>
      <c r="L25" s="15">
        <v>0.51792112676056345</v>
      </c>
    </row>
    <row r="26" spans="1:12" x14ac:dyDescent="0.25">
      <c r="A26" s="7">
        <v>2026</v>
      </c>
      <c r="B26" s="7" t="s">
        <v>52</v>
      </c>
      <c r="C26" s="7" t="s">
        <v>55</v>
      </c>
      <c r="D26" s="15" t="s">
        <v>51</v>
      </c>
      <c r="E26" s="37" t="s">
        <v>49</v>
      </c>
      <c r="F26" s="15">
        <v>0.39344262295081966</v>
      </c>
      <c r="G26" s="15">
        <v>0.26229508196721313</v>
      </c>
      <c r="H26" s="15">
        <v>0.34426229508196721</v>
      </c>
      <c r="I26" s="15">
        <v>0.56147540983606559</v>
      </c>
      <c r="J26" s="15">
        <v>0.5125065573770492</v>
      </c>
      <c r="K26" s="15">
        <v>0.44098360655737706</v>
      </c>
      <c r="L26" s="15">
        <v>0.50499344262295087</v>
      </c>
    </row>
    <row r="27" spans="1:12" x14ac:dyDescent="0.25">
      <c r="A27" s="7">
        <v>2026</v>
      </c>
      <c r="B27" s="7" t="s">
        <v>52</v>
      </c>
      <c r="C27" s="7" t="s">
        <v>55</v>
      </c>
      <c r="D27" s="15" t="s">
        <v>51</v>
      </c>
      <c r="E27" s="37" t="s">
        <v>50</v>
      </c>
      <c r="F27" s="15">
        <v>0.13580246913580246</v>
      </c>
      <c r="G27" s="15">
        <v>0.34567901234567899</v>
      </c>
      <c r="H27" s="15">
        <v>0.51851851851851849</v>
      </c>
      <c r="I27" s="15">
        <v>0.80555555555555558</v>
      </c>
      <c r="J27" s="15">
        <v>0.57222222222222219</v>
      </c>
      <c r="K27" s="15">
        <v>0.41357777777777771</v>
      </c>
      <c r="L27" s="15">
        <v>0.5971209876543212</v>
      </c>
    </row>
    <row r="28" spans="1:12" x14ac:dyDescent="0.25">
      <c r="A28" s="7">
        <v>2026</v>
      </c>
      <c r="B28" s="7" t="s">
        <v>53</v>
      </c>
      <c r="C28" s="7" t="s">
        <v>55</v>
      </c>
      <c r="D28" s="15" t="s">
        <v>44</v>
      </c>
      <c r="E28" s="37" t="s">
        <v>45</v>
      </c>
      <c r="F28" s="15">
        <v>0.28048780487804881</v>
      </c>
      <c r="G28" s="15">
        <v>0.3048780487804878</v>
      </c>
      <c r="H28" s="15">
        <v>0.41463414634146339</v>
      </c>
      <c r="I28" s="15">
        <v>0.67804878048780493</v>
      </c>
      <c r="J28" s="15">
        <v>0.55996219512195122</v>
      </c>
      <c r="K28" s="15">
        <v>0.52134146341463417</v>
      </c>
      <c r="L28" s="15">
        <v>0.58644390243902422</v>
      </c>
    </row>
    <row r="29" spans="1:12" x14ac:dyDescent="0.25">
      <c r="A29" s="7">
        <v>2026</v>
      </c>
      <c r="B29" s="7" t="s">
        <v>53</v>
      </c>
      <c r="C29" s="7" t="s">
        <v>55</v>
      </c>
      <c r="D29" s="15" t="s">
        <v>44</v>
      </c>
      <c r="E29" s="37" t="s">
        <v>46</v>
      </c>
      <c r="F29" s="15">
        <v>1.0309278350515464E-2</v>
      </c>
      <c r="G29" s="15">
        <v>0.51546391752577314</v>
      </c>
      <c r="H29" s="15">
        <v>0.47422680412371132</v>
      </c>
      <c r="I29" s="15">
        <v>0.72989690721649481</v>
      </c>
      <c r="J29" s="15">
        <v>0.76151443298969068</v>
      </c>
      <c r="K29" s="15">
        <v>0.70103092783505161</v>
      </c>
      <c r="L29" s="15">
        <v>0.7308154639175255</v>
      </c>
    </row>
    <row r="30" spans="1:12" x14ac:dyDescent="0.25">
      <c r="A30" s="7">
        <v>2026</v>
      </c>
      <c r="B30" s="7" t="s">
        <v>53</v>
      </c>
      <c r="C30" s="7" t="s">
        <v>55</v>
      </c>
      <c r="D30" s="15" t="s">
        <v>44</v>
      </c>
      <c r="E30" s="37" t="s">
        <v>47</v>
      </c>
      <c r="F30" s="15">
        <v>0.12844036697247707</v>
      </c>
      <c r="G30" s="15">
        <v>0.47706422018348627</v>
      </c>
      <c r="H30" s="15">
        <v>0.39449541284403672</v>
      </c>
      <c r="I30" s="15">
        <v>0.64067247706422026</v>
      </c>
      <c r="J30" s="15">
        <v>0.64793577981651385</v>
      </c>
      <c r="K30" s="15">
        <v>0.71330275229357798</v>
      </c>
      <c r="L30" s="15">
        <v>0.66730550458715587</v>
      </c>
    </row>
    <row r="31" spans="1:12" x14ac:dyDescent="0.25">
      <c r="A31" s="7">
        <v>2026</v>
      </c>
      <c r="B31" s="7" t="s">
        <v>53</v>
      </c>
      <c r="C31" s="7" t="s">
        <v>55</v>
      </c>
      <c r="D31" s="15" t="s">
        <v>44</v>
      </c>
      <c r="E31" s="37" t="s">
        <v>48</v>
      </c>
      <c r="F31" s="15">
        <v>4.807692307692308E-2</v>
      </c>
      <c r="G31" s="15">
        <v>0.70192307692307687</v>
      </c>
      <c r="H31" s="15">
        <v>0.25</v>
      </c>
      <c r="I31" s="15">
        <v>0.69390480769230767</v>
      </c>
      <c r="J31" s="15">
        <v>0.64084038461538451</v>
      </c>
      <c r="K31" s="15">
        <v>0.64903846153846156</v>
      </c>
      <c r="L31" s="15">
        <v>0.66125865384615423</v>
      </c>
    </row>
    <row r="32" spans="1:12" x14ac:dyDescent="0.25">
      <c r="A32" s="7">
        <v>2026</v>
      </c>
      <c r="B32" s="7" t="s">
        <v>53</v>
      </c>
      <c r="C32" s="7" t="s">
        <v>55</v>
      </c>
      <c r="D32" s="15" t="s">
        <v>44</v>
      </c>
      <c r="E32" s="37" t="s">
        <v>49</v>
      </c>
      <c r="F32" s="15">
        <v>0.11214953271028037</v>
      </c>
      <c r="G32" s="15">
        <v>0.52336448598130836</v>
      </c>
      <c r="H32" s="15">
        <v>0.3644859813084112</v>
      </c>
      <c r="I32" s="15">
        <v>0.71962616822429903</v>
      </c>
      <c r="J32" s="15">
        <v>0.63501962616822438</v>
      </c>
      <c r="K32" s="15">
        <v>0.5490654205607477</v>
      </c>
      <c r="L32" s="15">
        <v>0.63457289719626153</v>
      </c>
    </row>
    <row r="33" spans="1:12" x14ac:dyDescent="0.25">
      <c r="A33" s="7">
        <v>2026</v>
      </c>
      <c r="B33" s="7" t="s">
        <v>53</v>
      </c>
      <c r="C33" s="7" t="s">
        <v>55</v>
      </c>
      <c r="D33" s="15" t="s">
        <v>44</v>
      </c>
      <c r="E33" s="37" t="s">
        <v>50</v>
      </c>
      <c r="F33" s="15">
        <v>0.1484375</v>
      </c>
      <c r="G33" s="15">
        <v>0.734375</v>
      </c>
      <c r="H33" s="15">
        <v>0.1171875</v>
      </c>
      <c r="I33" s="15">
        <v>0.75390625</v>
      </c>
      <c r="J33" s="15">
        <v>0.61471718750000004</v>
      </c>
      <c r="K33" s="15">
        <v>0.50055859375</v>
      </c>
      <c r="L33" s="15">
        <v>0.62306249999999974</v>
      </c>
    </row>
    <row r="34" spans="1:12" x14ac:dyDescent="0.25">
      <c r="A34" s="7">
        <v>2026</v>
      </c>
      <c r="B34" s="7" t="s">
        <v>53</v>
      </c>
      <c r="C34" s="7" t="s">
        <v>55</v>
      </c>
      <c r="D34" s="15" t="s">
        <v>51</v>
      </c>
      <c r="E34" s="37" t="s">
        <v>56</v>
      </c>
      <c r="F34" s="15">
        <v>0.35802469135802467</v>
      </c>
      <c r="G34" s="15">
        <v>0.2839506172839506</v>
      </c>
      <c r="H34" s="15">
        <v>0.35802469135802467</v>
      </c>
      <c r="I34" s="15">
        <v>0.66460740740740731</v>
      </c>
      <c r="J34" s="15">
        <v>0.57901234567901239</v>
      </c>
      <c r="K34" s="15">
        <v>0.3271604938271605</v>
      </c>
      <c r="L34" s="15">
        <v>0.52360000000000007</v>
      </c>
    </row>
    <row r="35" spans="1:12" x14ac:dyDescent="0.25">
      <c r="A35" s="7">
        <v>2026</v>
      </c>
      <c r="B35" s="7" t="s">
        <v>53</v>
      </c>
      <c r="C35" s="7" t="s">
        <v>55</v>
      </c>
      <c r="D35" s="15" t="s">
        <v>51</v>
      </c>
      <c r="E35" s="37" t="s">
        <v>45</v>
      </c>
      <c r="F35" s="15">
        <v>0.32876712328767121</v>
      </c>
      <c r="G35" s="15">
        <v>0.26027397260273971</v>
      </c>
      <c r="H35" s="15">
        <v>0.41095890410958902</v>
      </c>
      <c r="I35" s="15">
        <v>0.57808219178082187</v>
      </c>
      <c r="J35" s="15">
        <v>0.63857397260273929</v>
      </c>
      <c r="K35" s="15">
        <v>0.36986301369863012</v>
      </c>
      <c r="L35" s="15">
        <v>0.52884109589041084</v>
      </c>
    </row>
    <row r="36" spans="1:12" x14ac:dyDescent="0.25">
      <c r="A36" s="7">
        <v>2026</v>
      </c>
      <c r="B36" s="7" t="s">
        <v>53</v>
      </c>
      <c r="C36" s="7" t="s">
        <v>55</v>
      </c>
      <c r="D36" s="15" t="s">
        <v>51</v>
      </c>
      <c r="E36" s="37" t="s">
        <v>46</v>
      </c>
      <c r="F36" s="15">
        <v>1.0101010101010102E-2</v>
      </c>
      <c r="G36" s="15">
        <v>0.14141414141414141</v>
      </c>
      <c r="H36" s="15">
        <v>0.84848484848484851</v>
      </c>
      <c r="I36" s="15">
        <v>0.88046767676767668</v>
      </c>
      <c r="J36" s="15">
        <v>0.77441414141414144</v>
      </c>
      <c r="K36" s="15">
        <v>0.6767676767676768</v>
      </c>
      <c r="L36" s="15">
        <v>0.77722323232323265</v>
      </c>
    </row>
    <row r="37" spans="1:12" x14ac:dyDescent="0.25">
      <c r="A37" s="7">
        <v>2026</v>
      </c>
      <c r="B37" s="7" t="s">
        <v>53</v>
      </c>
      <c r="C37" s="7" t="s">
        <v>55</v>
      </c>
      <c r="D37" s="15" t="s">
        <v>51</v>
      </c>
      <c r="E37" s="37" t="s">
        <v>47</v>
      </c>
      <c r="F37" s="15">
        <v>0.15384615384615385</v>
      </c>
      <c r="G37" s="15">
        <v>0.2076923076923077</v>
      </c>
      <c r="H37" s="15">
        <v>0.63846153846153841</v>
      </c>
      <c r="I37" s="15">
        <v>0.75096153846153835</v>
      </c>
      <c r="J37" s="15">
        <v>0.6215376923076924</v>
      </c>
      <c r="K37" s="15">
        <v>0.65192307692307694</v>
      </c>
      <c r="L37" s="15">
        <v>0.67480692307692325</v>
      </c>
    </row>
    <row r="38" spans="1:12" x14ac:dyDescent="0.25">
      <c r="A38" s="7">
        <v>2026</v>
      </c>
      <c r="B38" s="7" t="s">
        <v>53</v>
      </c>
      <c r="C38" s="7" t="s">
        <v>55</v>
      </c>
      <c r="D38" s="15" t="s">
        <v>51</v>
      </c>
      <c r="E38" s="37" t="s">
        <v>48</v>
      </c>
      <c r="F38" s="15">
        <v>7.5471698113207544E-2</v>
      </c>
      <c r="G38" s="15">
        <v>0.23584905660377359</v>
      </c>
      <c r="H38" s="15">
        <v>0.68867924528301883</v>
      </c>
      <c r="I38" s="15">
        <v>0.72169811320754718</v>
      </c>
      <c r="J38" s="15">
        <v>0.70257830188679238</v>
      </c>
      <c r="K38" s="15">
        <v>0.68985849056603765</v>
      </c>
      <c r="L38" s="15">
        <v>0.70471226415094324</v>
      </c>
    </row>
    <row r="39" spans="1:12" x14ac:dyDescent="0.25">
      <c r="A39" s="7">
        <v>2026</v>
      </c>
      <c r="B39" s="7" t="s">
        <v>53</v>
      </c>
      <c r="C39" s="7" t="s">
        <v>55</v>
      </c>
      <c r="D39" s="15" t="s">
        <v>51</v>
      </c>
      <c r="E39" s="37" t="s">
        <v>49</v>
      </c>
      <c r="F39" s="15">
        <v>0.25641025641025639</v>
      </c>
      <c r="G39" s="15">
        <v>0.37606837606837606</v>
      </c>
      <c r="H39" s="15">
        <v>0.36752136752136755</v>
      </c>
      <c r="I39" s="15">
        <v>0.55982905982905984</v>
      </c>
      <c r="J39" s="15">
        <v>0.48133504273504263</v>
      </c>
      <c r="K39" s="15">
        <v>0.51452991452991459</v>
      </c>
      <c r="L39" s="15">
        <v>0.51856666666666673</v>
      </c>
    </row>
    <row r="40" spans="1:12" x14ac:dyDescent="0.25">
      <c r="A40" s="35">
        <v>2026</v>
      </c>
      <c r="B40" s="35" t="s">
        <v>53</v>
      </c>
      <c r="C40" s="35" t="s">
        <v>55</v>
      </c>
      <c r="D40" s="36" t="s">
        <v>51</v>
      </c>
      <c r="E40" s="38" t="s">
        <v>50</v>
      </c>
      <c r="F40" s="36">
        <v>0.28440366972477066</v>
      </c>
      <c r="G40" s="36">
        <v>0.34862385321100919</v>
      </c>
      <c r="H40" s="36">
        <v>0.3669724770642202</v>
      </c>
      <c r="I40" s="36">
        <v>0.65137614678899081</v>
      </c>
      <c r="J40" s="36">
        <v>0.51376146788990829</v>
      </c>
      <c r="K40" s="36">
        <v>0.37156055045871567</v>
      </c>
      <c r="L40" s="36">
        <v>0.5122321100917433</v>
      </c>
    </row>
    <row r="41" spans="1:12" x14ac:dyDescent="0.25">
      <c r="A41" s="39">
        <v>2026</v>
      </c>
      <c r="B41" s="40" t="s">
        <v>57</v>
      </c>
      <c r="C41" s="40" t="s">
        <v>55</v>
      </c>
      <c r="D41" s="40" t="s">
        <v>51</v>
      </c>
      <c r="E41" s="39" t="s">
        <v>11</v>
      </c>
      <c r="F41" s="40">
        <v>0.17755561472666737</v>
      </c>
      <c r="G41" s="40">
        <v>0.27969471949735109</v>
      </c>
      <c r="H41" s="40">
        <v>0.54274966577598149</v>
      </c>
      <c r="I41" s="40">
        <v>0.6982912355445251</v>
      </c>
      <c r="J41" s="40">
        <v>0.56044774452669199</v>
      </c>
      <c r="K41" s="40">
        <v>0.54416366662616666</v>
      </c>
      <c r="L41" s="40">
        <v>0.60096754889912796</v>
      </c>
    </row>
    <row r="42" spans="1:12" x14ac:dyDescent="0.25">
      <c r="A42" s="39">
        <v>2026</v>
      </c>
      <c r="B42" s="39" t="s">
        <v>57</v>
      </c>
      <c r="C42" s="39" t="s">
        <v>55</v>
      </c>
      <c r="D42" s="40" t="s">
        <v>51</v>
      </c>
      <c r="E42" s="39" t="s">
        <v>21</v>
      </c>
      <c r="F42" s="40">
        <v>7.0494247257767179E-2</v>
      </c>
      <c r="G42" s="40">
        <v>0.20187312476686289</v>
      </c>
      <c r="H42" s="40">
        <v>0.72763262797536987</v>
      </c>
      <c r="I42" s="40">
        <v>0.82330834453371238</v>
      </c>
      <c r="J42" s="40">
        <v>0.6663734712923769</v>
      </c>
      <c r="K42" s="40">
        <v>0.60223371900628186</v>
      </c>
      <c r="L42" s="40">
        <v>0.69730517827745719</v>
      </c>
    </row>
    <row r="43" spans="1:12" x14ac:dyDescent="0.25">
      <c r="A43" s="39">
        <v>2026</v>
      </c>
      <c r="B43" s="40" t="s">
        <v>58</v>
      </c>
      <c r="C43" s="39" t="s">
        <v>55</v>
      </c>
      <c r="D43" s="40" t="s">
        <v>51</v>
      </c>
      <c r="E43" s="39" t="s">
        <v>11</v>
      </c>
      <c r="F43" s="15">
        <v>0.33237909044360664</v>
      </c>
      <c r="G43" s="15">
        <v>0.36456733230926774</v>
      </c>
      <c r="H43" s="15">
        <v>0.30305357724712562</v>
      </c>
      <c r="I43" s="15">
        <v>0.57466368756691344</v>
      </c>
      <c r="J43" s="15">
        <v>0.48212423776939906</v>
      </c>
      <c r="K43" s="15">
        <v>0.43988046944095327</v>
      </c>
      <c r="L43" s="15">
        <v>0.4988894649257552</v>
      </c>
    </row>
    <row r="44" spans="1:12" x14ac:dyDescent="0.25">
      <c r="A44" s="39">
        <v>2026</v>
      </c>
      <c r="B44" s="39" t="s">
        <v>58</v>
      </c>
      <c r="C44" s="39" t="s">
        <v>55</v>
      </c>
      <c r="D44" s="40" t="s">
        <v>51</v>
      </c>
      <c r="E44" s="39" t="s">
        <v>21</v>
      </c>
      <c r="F44" s="15">
        <v>0.23869597547016905</v>
      </c>
      <c r="G44" s="15">
        <v>0.30423476563261509</v>
      </c>
      <c r="H44" s="15">
        <v>0.45706925889721589</v>
      </c>
      <c r="I44" s="15">
        <v>0.68964829676416761</v>
      </c>
      <c r="J44" s="15">
        <v>0.55333760305007618</v>
      </c>
      <c r="K44" s="15">
        <v>0.44102857740626561</v>
      </c>
      <c r="L44" s="15">
        <v>0.56133815907350315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data_dia_mat</vt:lpstr>
      <vt:lpstr>data_dia_len</vt:lpstr>
      <vt:lpstr>data_dia_diag_mat</vt:lpstr>
      <vt:lpstr>data_dia_diag_len</vt:lpstr>
      <vt:lpstr>diag_update_mat</vt:lpstr>
      <vt:lpstr>diag_update_len</vt:lpstr>
      <vt:lpstr>data_dia_mat!_FilterDatabase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Javier Sepúlveda Olivares</cp:lastModifiedBy>
  <dcterms:created xsi:type="dcterms:W3CDTF">2024-08-02T00:17:37Z</dcterms:created>
  <dcterms:modified xsi:type="dcterms:W3CDTF">2026-05-02T22:52:27Z</dcterms:modified>
</cp:coreProperties>
</file>