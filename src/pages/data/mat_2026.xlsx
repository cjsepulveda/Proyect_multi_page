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3459c2b1820bce1/Documentos/Proyect_Phyton/Proyect_multi_page/src/pages/data/"/>
    </mc:Choice>
  </mc:AlternateContent>
  <xr:revisionPtr revIDLastSave="95" documentId="8_{D3DC1C62-A0A1-41AB-9E62-302D8C909E41}" xr6:coauthVersionLast="47" xr6:coauthVersionMax="47" xr10:uidLastSave="{ECEDD066-C120-427F-AFF7-5EAE97E1ACA5}"/>
  <bookViews>
    <workbookView xWindow="-24120" yWindow="-795" windowWidth="24240" windowHeight="13020" xr2:uid="{36BD599D-36E1-42BF-8C27-3007C624F7E1}"/>
  </bookViews>
  <sheets>
    <sheet name="mat_2026" sheetId="1" r:id="rId1"/>
    <sheet name="proyeccion_2026" sheetId="2" r:id="rId2"/>
  </sheets>
  <definedNames>
    <definedName name="_xlnm._FilterDatabase" localSheetId="0" hidden="1">mat_2026!$A$1:$E$39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2" l="1"/>
  <c r="F4" i="2"/>
  <c r="F5" i="2"/>
  <c r="F6" i="2"/>
  <c r="F7" i="2"/>
  <c r="F2" i="2"/>
  <c r="E7" i="2"/>
  <c r="E5" i="2"/>
  <c r="E6" i="2"/>
  <c r="E4" i="2"/>
  <c r="E3" i="2"/>
  <c r="E2" i="2"/>
</calcChain>
</file>

<file path=xl/sharedStrings.xml><?xml version="1.0" encoding="utf-8"?>
<sst xmlns="http://schemas.openxmlformats.org/spreadsheetml/2006/main" count="93" uniqueCount="32">
  <si>
    <t>SAE_2026</t>
  </si>
  <si>
    <t>MAT_2026</t>
  </si>
  <si>
    <t>% META</t>
  </si>
  <si>
    <t>BÁSICA 1</t>
  </si>
  <si>
    <t>PREKINDER</t>
  </si>
  <si>
    <t>2BÁSICO</t>
  </si>
  <si>
    <t>KINDER</t>
  </si>
  <si>
    <t>8BÁSICO</t>
  </si>
  <si>
    <t>1BÁSICO</t>
  </si>
  <si>
    <t>7BÁSICO</t>
  </si>
  <si>
    <t>5BÁSICO</t>
  </si>
  <si>
    <t>3BÁSICO</t>
  </si>
  <si>
    <t>4BÁSICO</t>
  </si>
  <si>
    <t>6BÁSICO</t>
  </si>
  <si>
    <t>BÁSICA 2</t>
  </si>
  <si>
    <t>BÁSICA SF</t>
  </si>
  <si>
    <t>MEDIA LOS ANDES</t>
  </si>
  <si>
    <t>1MEDIO</t>
  </si>
  <si>
    <t>2MEDIO</t>
  </si>
  <si>
    <t>3MEDIO</t>
  </si>
  <si>
    <t>4MEDIO</t>
  </si>
  <si>
    <t>MEDIA SAN FELIPE</t>
  </si>
  <si>
    <t>NIVEL</t>
  </si>
  <si>
    <t>UNI_EDU</t>
  </si>
  <si>
    <t>UNIDAD ACADÉMICA</t>
  </si>
  <si>
    <t>MATRÍCULA PROYECTADA 2026</t>
  </si>
  <si>
    <t>% CRECIMIENTO</t>
  </si>
  <si>
    <t>BÁSICA SAN FELIPE</t>
  </si>
  <si>
    <t>TOTAL ESTUDIANTES</t>
  </si>
  <si>
    <t>ESTUDIANTES ESPERADOS SAE 2026</t>
  </si>
  <si>
    <t>MATRÍCULA 2025</t>
  </si>
  <si>
    <t>% ALCANZADO PROYECCIÓN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</si>
</sst>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">
    <xf numFmtId="0" fontId="0" fillId="0" borderId="0" xfId="0"/>
    <xf numFmtId="0" fontId="0" fillId="0" borderId="0" xfId="0" applyAlignment="1">
      <alignment horizontal="center"/>
    </xf>
    <xf numFmtId="10" fontId="0" fillId="0" borderId="0" xfId="1" applyNumberFormat="1" applyFont="1" applyAlignment="1">
      <alignment horizont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C1322-F2C4-4535-882A-673ED2A7B0F2}">
  <dimension ref="A1:E39"/>
  <sheetViews>
    <sheetView tabSelected="1" topLeftCell="A22" workbookViewId="0">
      <selection activeCell="D32" sqref="D32:D35"/>
    </sheetView>
  </sheetViews>
  <sheetFormatPr baseColWidth="10" defaultRowHeight="15" x14ac:dyDescent="0.25"/>
  <cols>
    <col min="1" max="1" width="18.28515625" bestFit="1" customWidth="1"/>
    <col min="2" max="2" width="20" customWidth="1"/>
    <col min="3" max="3" width="12" customWidth="1"/>
    <col min="4" max="4" width="16.42578125" customWidth="1"/>
    <col min="5" max="5" width="14" customWidth="1"/>
  </cols>
  <sheetData>
    <row r="1" spans="1:5" x14ac:dyDescent="0.25">
      <c r="A1" t="s">
        <v>23</v>
      </c>
      <c r="B1" t="s">
        <v>22</v>
      </c>
      <c r="C1" t="s">
        <v>0</v>
      </c>
      <c r="D1" t="s">
        <v>1</v>
      </c>
      <c r="E1" t="s">
        <v>2</v>
      </c>
    </row>
    <row r="2" spans="1:5" x14ac:dyDescent="0.25">
      <c r="A2" t="s">
        <v>3</v>
      </c>
      <c r="B2" t="s">
        <v>4</v>
      </c>
      <c r="C2">
        <v>19</v>
      </c>
      <c r="D2">
        <v>21</v>
      </c>
      <c r="E2">
        <v>1.105</v>
      </c>
    </row>
    <row r="3" spans="1:5" x14ac:dyDescent="0.25">
      <c r="A3" t="s">
        <v>3</v>
      </c>
      <c r="B3" t="s">
        <v>6</v>
      </c>
      <c r="C3">
        <v>33</v>
      </c>
      <c r="D3">
        <v>32</v>
      </c>
      <c r="E3">
        <v>0.97</v>
      </c>
    </row>
    <row r="4" spans="1:5" x14ac:dyDescent="0.25">
      <c r="A4" t="s">
        <v>3</v>
      </c>
      <c r="B4" t="s">
        <v>8</v>
      </c>
      <c r="C4">
        <v>46</v>
      </c>
      <c r="D4">
        <v>50</v>
      </c>
      <c r="E4">
        <v>1.087</v>
      </c>
    </row>
    <row r="5" spans="1:5" x14ac:dyDescent="0.25">
      <c r="A5" t="s">
        <v>3</v>
      </c>
      <c r="B5" t="s">
        <v>5</v>
      </c>
      <c r="C5">
        <v>34</v>
      </c>
      <c r="D5">
        <v>40</v>
      </c>
      <c r="E5">
        <v>1.1759999999999999</v>
      </c>
    </row>
    <row r="6" spans="1:5" x14ac:dyDescent="0.25">
      <c r="A6" t="s">
        <v>3</v>
      </c>
      <c r="B6" t="s">
        <v>11</v>
      </c>
      <c r="C6">
        <v>58</v>
      </c>
      <c r="D6">
        <v>59</v>
      </c>
      <c r="E6">
        <v>1.0169999999999999</v>
      </c>
    </row>
    <row r="7" spans="1:5" x14ac:dyDescent="0.25">
      <c r="A7" t="s">
        <v>3</v>
      </c>
      <c r="B7" t="s">
        <v>12</v>
      </c>
      <c r="C7">
        <v>61</v>
      </c>
      <c r="D7">
        <v>56</v>
      </c>
      <c r="E7">
        <v>0.91800000000000004</v>
      </c>
    </row>
    <row r="8" spans="1:5" x14ac:dyDescent="0.25">
      <c r="A8" t="s">
        <v>3</v>
      </c>
      <c r="B8" t="s">
        <v>10</v>
      </c>
      <c r="C8">
        <v>75</v>
      </c>
      <c r="D8">
        <v>80</v>
      </c>
      <c r="E8">
        <v>1.0669999999999999</v>
      </c>
    </row>
    <row r="9" spans="1:5" x14ac:dyDescent="0.25">
      <c r="A9" t="s">
        <v>3</v>
      </c>
      <c r="B9" t="s">
        <v>13</v>
      </c>
      <c r="C9">
        <v>108</v>
      </c>
      <c r="D9">
        <v>107</v>
      </c>
      <c r="E9">
        <v>0.99099999999999999</v>
      </c>
    </row>
    <row r="10" spans="1:5" x14ac:dyDescent="0.25">
      <c r="A10" t="s">
        <v>3</v>
      </c>
      <c r="B10" t="s">
        <v>9</v>
      </c>
      <c r="C10">
        <v>64</v>
      </c>
      <c r="D10">
        <v>68</v>
      </c>
      <c r="E10">
        <v>1.0620000000000001</v>
      </c>
    </row>
    <row r="11" spans="1:5" x14ac:dyDescent="0.25">
      <c r="A11" t="s">
        <v>3</v>
      </c>
      <c r="B11" t="s">
        <v>7</v>
      </c>
      <c r="C11">
        <v>88</v>
      </c>
      <c r="D11">
        <v>87</v>
      </c>
      <c r="E11">
        <v>0.98899999999999999</v>
      </c>
    </row>
    <row r="12" spans="1:5" x14ac:dyDescent="0.25">
      <c r="A12" t="s">
        <v>14</v>
      </c>
      <c r="B12" t="s">
        <v>4</v>
      </c>
      <c r="C12">
        <v>31</v>
      </c>
      <c r="D12">
        <v>34</v>
      </c>
      <c r="E12">
        <v>1.097</v>
      </c>
    </row>
    <row r="13" spans="1:5" x14ac:dyDescent="0.25">
      <c r="A13" t="s">
        <v>14</v>
      </c>
      <c r="B13" t="s">
        <v>6</v>
      </c>
      <c r="C13">
        <v>35</v>
      </c>
      <c r="D13">
        <v>32</v>
      </c>
      <c r="E13">
        <v>0.91400000000000003</v>
      </c>
    </row>
    <row r="14" spans="1:5" x14ac:dyDescent="0.25">
      <c r="A14" t="s">
        <v>14</v>
      </c>
      <c r="B14" t="s">
        <v>8</v>
      </c>
      <c r="C14">
        <v>62</v>
      </c>
      <c r="D14">
        <v>61</v>
      </c>
      <c r="E14">
        <v>0.98399999999999999</v>
      </c>
    </row>
    <row r="15" spans="1:5" x14ac:dyDescent="0.25">
      <c r="A15" t="s">
        <v>14</v>
      </c>
      <c r="B15" t="s">
        <v>5</v>
      </c>
      <c r="C15">
        <v>40</v>
      </c>
      <c r="D15">
        <v>41</v>
      </c>
      <c r="E15">
        <v>1.0249999999999999</v>
      </c>
    </row>
    <row r="16" spans="1:5" x14ac:dyDescent="0.25">
      <c r="A16" t="s">
        <v>14</v>
      </c>
      <c r="B16" t="s">
        <v>11</v>
      </c>
      <c r="C16">
        <v>63</v>
      </c>
      <c r="D16">
        <v>55</v>
      </c>
      <c r="E16">
        <v>0.873</v>
      </c>
    </row>
    <row r="17" spans="1:5" x14ac:dyDescent="0.25">
      <c r="A17" t="s">
        <v>14</v>
      </c>
      <c r="B17" t="s">
        <v>12</v>
      </c>
      <c r="C17">
        <v>68</v>
      </c>
      <c r="D17">
        <v>65</v>
      </c>
      <c r="E17">
        <v>0.95599999999999996</v>
      </c>
    </row>
    <row r="18" spans="1:5" x14ac:dyDescent="0.25">
      <c r="A18" t="s">
        <v>14</v>
      </c>
      <c r="B18" t="s">
        <v>10</v>
      </c>
      <c r="C18">
        <v>75</v>
      </c>
      <c r="D18">
        <v>75</v>
      </c>
      <c r="E18">
        <v>1</v>
      </c>
    </row>
    <row r="19" spans="1:5" x14ac:dyDescent="0.25">
      <c r="A19" t="s">
        <v>14</v>
      </c>
      <c r="B19" t="s">
        <v>13</v>
      </c>
      <c r="C19">
        <v>89</v>
      </c>
      <c r="D19">
        <v>90</v>
      </c>
      <c r="E19">
        <v>1.0109999999999999</v>
      </c>
    </row>
    <row r="20" spans="1:5" x14ac:dyDescent="0.25">
      <c r="A20" t="s">
        <v>14</v>
      </c>
      <c r="B20" t="s">
        <v>9</v>
      </c>
      <c r="C20">
        <v>85</v>
      </c>
      <c r="D20">
        <v>84</v>
      </c>
      <c r="E20">
        <v>0.98799999999999999</v>
      </c>
    </row>
    <row r="21" spans="1:5" x14ac:dyDescent="0.25">
      <c r="A21" t="s">
        <v>14</v>
      </c>
      <c r="B21" t="s">
        <v>7</v>
      </c>
      <c r="C21">
        <v>87</v>
      </c>
      <c r="D21">
        <v>83</v>
      </c>
      <c r="E21">
        <v>0.95399999999999996</v>
      </c>
    </row>
    <row r="22" spans="1:5" x14ac:dyDescent="0.25">
      <c r="A22" t="s">
        <v>15</v>
      </c>
      <c r="B22" t="s">
        <v>4</v>
      </c>
      <c r="C22">
        <v>28</v>
      </c>
      <c r="D22">
        <v>35</v>
      </c>
      <c r="E22">
        <v>1.25</v>
      </c>
    </row>
    <row r="23" spans="1:5" x14ac:dyDescent="0.25">
      <c r="A23" t="s">
        <v>15</v>
      </c>
      <c r="B23" t="s">
        <v>6</v>
      </c>
      <c r="C23">
        <v>38</v>
      </c>
      <c r="D23">
        <v>37</v>
      </c>
      <c r="E23">
        <v>0.97399999999999998</v>
      </c>
    </row>
    <row r="24" spans="1:5" x14ac:dyDescent="0.25">
      <c r="A24" t="s">
        <v>15</v>
      </c>
      <c r="B24" t="s">
        <v>8</v>
      </c>
      <c r="C24">
        <v>65</v>
      </c>
      <c r="D24">
        <v>73</v>
      </c>
      <c r="E24">
        <v>1.123</v>
      </c>
    </row>
    <row r="25" spans="1:5" x14ac:dyDescent="0.25">
      <c r="A25" t="s">
        <v>15</v>
      </c>
      <c r="B25" t="s">
        <v>5</v>
      </c>
      <c r="C25">
        <v>91</v>
      </c>
      <c r="D25">
        <v>88</v>
      </c>
      <c r="E25">
        <v>0.96699999999999997</v>
      </c>
    </row>
    <row r="26" spans="1:5" x14ac:dyDescent="0.25">
      <c r="A26" t="s">
        <v>15</v>
      </c>
      <c r="B26" t="s">
        <v>11</v>
      </c>
      <c r="C26">
        <v>83</v>
      </c>
      <c r="D26">
        <v>80</v>
      </c>
      <c r="E26">
        <v>0.96399999999999997</v>
      </c>
    </row>
    <row r="27" spans="1:5" x14ac:dyDescent="0.25">
      <c r="A27" t="s">
        <v>15</v>
      </c>
      <c r="B27" t="s">
        <v>12</v>
      </c>
      <c r="C27">
        <v>109</v>
      </c>
      <c r="D27">
        <v>100</v>
      </c>
      <c r="E27">
        <v>0.91700000000000004</v>
      </c>
    </row>
    <row r="28" spans="1:5" x14ac:dyDescent="0.25">
      <c r="A28" t="s">
        <v>15</v>
      </c>
      <c r="B28" t="s">
        <v>10</v>
      </c>
      <c r="C28">
        <v>140</v>
      </c>
      <c r="D28">
        <v>134</v>
      </c>
      <c r="E28">
        <v>0.95699999999999996</v>
      </c>
    </row>
    <row r="29" spans="1:5" x14ac:dyDescent="0.25">
      <c r="A29" t="s">
        <v>15</v>
      </c>
      <c r="B29" t="s">
        <v>13</v>
      </c>
      <c r="C29">
        <v>128</v>
      </c>
      <c r="D29">
        <v>127</v>
      </c>
      <c r="E29">
        <v>0.99199999999999999</v>
      </c>
    </row>
    <row r="30" spans="1:5" x14ac:dyDescent="0.25">
      <c r="A30" t="s">
        <v>15</v>
      </c>
      <c r="B30" t="s">
        <v>9</v>
      </c>
      <c r="C30">
        <v>119</v>
      </c>
      <c r="D30">
        <v>115</v>
      </c>
      <c r="E30">
        <v>0.96599999999999997</v>
      </c>
    </row>
    <row r="31" spans="1:5" x14ac:dyDescent="0.25">
      <c r="A31" t="s">
        <v>15</v>
      </c>
      <c r="B31" t="s">
        <v>7</v>
      </c>
      <c r="C31">
        <v>138</v>
      </c>
      <c r="D31">
        <v>133</v>
      </c>
      <c r="E31">
        <v>0.96399999999999997</v>
      </c>
    </row>
    <row r="32" spans="1:5" x14ac:dyDescent="0.25">
      <c r="A32" t="s">
        <v>16</v>
      </c>
      <c r="B32" t="s">
        <v>17</v>
      </c>
      <c r="C32">
        <v>397</v>
      </c>
      <c r="D32">
        <v>387</v>
      </c>
      <c r="E32">
        <v>0.97499999999999998</v>
      </c>
    </row>
    <row r="33" spans="1:5" x14ac:dyDescent="0.25">
      <c r="A33" t="s">
        <v>16</v>
      </c>
      <c r="B33" t="s">
        <v>18</v>
      </c>
      <c r="C33">
        <v>329</v>
      </c>
      <c r="D33">
        <v>327</v>
      </c>
      <c r="E33">
        <v>0.99399999999999999</v>
      </c>
    </row>
    <row r="34" spans="1:5" x14ac:dyDescent="0.25">
      <c r="A34" t="s">
        <v>16</v>
      </c>
      <c r="B34" t="s">
        <v>19</v>
      </c>
      <c r="C34">
        <v>323</v>
      </c>
      <c r="D34">
        <v>313</v>
      </c>
      <c r="E34">
        <v>0.96899999999999997</v>
      </c>
    </row>
    <row r="35" spans="1:5" x14ac:dyDescent="0.25">
      <c r="A35" t="s">
        <v>16</v>
      </c>
      <c r="B35" t="s">
        <v>20</v>
      </c>
      <c r="C35">
        <v>218</v>
      </c>
      <c r="D35">
        <v>218</v>
      </c>
      <c r="E35">
        <v>1</v>
      </c>
    </row>
    <row r="36" spans="1:5" x14ac:dyDescent="0.25">
      <c r="A36" t="s">
        <v>21</v>
      </c>
      <c r="B36" t="s">
        <v>17</v>
      </c>
      <c r="C36">
        <v>250</v>
      </c>
      <c r="D36">
        <v>228</v>
      </c>
      <c r="E36">
        <v>0.91200000000000003</v>
      </c>
    </row>
    <row r="37" spans="1:5" x14ac:dyDescent="0.25">
      <c r="A37" t="s">
        <v>21</v>
      </c>
      <c r="B37" t="s">
        <v>18</v>
      </c>
      <c r="C37">
        <v>217</v>
      </c>
      <c r="D37">
        <v>199</v>
      </c>
      <c r="E37">
        <v>0.91700000000000004</v>
      </c>
    </row>
    <row r="38" spans="1:5" x14ac:dyDescent="0.25">
      <c r="A38" t="s">
        <v>21</v>
      </c>
      <c r="B38" t="s">
        <v>19</v>
      </c>
      <c r="C38">
        <v>226</v>
      </c>
      <c r="D38">
        <v>216</v>
      </c>
      <c r="E38">
        <v>0.95599999999999996</v>
      </c>
    </row>
    <row r="39" spans="1:5" x14ac:dyDescent="0.25">
      <c r="A39" t="s">
        <v>21</v>
      </c>
      <c r="B39" t="s">
        <v>20</v>
      </c>
      <c r="C39">
        <v>214</v>
      </c>
      <c r="D39">
        <v>197</v>
      </c>
      <c r="E39">
        <v>0.92100000000000004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C3402-0C17-4819-BE0C-D68186D5792E}">
  <dimension ref="A1:F7"/>
  <sheetViews>
    <sheetView workbookViewId="0">
      <selection activeCell="D14" sqref="D14"/>
    </sheetView>
  </sheetViews>
  <sheetFormatPr baseColWidth="10" defaultRowHeight="15" x14ac:dyDescent="0.25"/>
  <cols>
    <col min="1" max="1" width="18.7109375" bestFit="1" customWidth="1"/>
    <col min="2" max="2" width="19.42578125" customWidth="1"/>
    <col min="3" max="3" width="31" customWidth="1"/>
    <col min="4" max="4" width="38.28515625" bestFit="1" customWidth="1"/>
    <col min="5" max="5" width="26.140625" bestFit="1" customWidth="1"/>
    <col min="6" max="6" width="15" bestFit="1" customWidth="1"/>
  </cols>
  <sheetData>
    <row r="1" spans="1:6" x14ac:dyDescent="0.25">
      <c r="A1" t="s">
        <v>24</v>
      </c>
      <c r="B1" t="s">
        <v>30</v>
      </c>
      <c r="C1" t="s">
        <v>25</v>
      </c>
      <c r="D1" t="s">
        <v>29</v>
      </c>
      <c r="E1" t="s">
        <v>31</v>
      </c>
      <c r="F1" t="s">
        <v>26</v>
      </c>
    </row>
    <row r="2" spans="1:6" x14ac:dyDescent="0.25">
      <c r="A2" t="s">
        <v>3</v>
      </c>
      <c r="B2" s="1">
        <v>651</v>
      </c>
      <c r="C2" s="1">
        <v>621</v>
      </c>
      <c r="D2" s="1">
        <v>586</v>
      </c>
      <c r="E2" s="2">
        <f t="shared" ref="E2:E7" si="0">D2/C2</f>
        <v>0.94363929146537839</v>
      </c>
      <c r="F2" s="2">
        <f>D2/B2-1</f>
        <v>-9.9846390168970789E-2</v>
      </c>
    </row>
    <row r="3" spans="1:6" x14ac:dyDescent="0.25">
      <c r="A3" t="s">
        <v>14</v>
      </c>
      <c r="B3" s="1">
        <v>650</v>
      </c>
      <c r="C3" s="1">
        <v>660</v>
      </c>
      <c r="D3" s="1">
        <v>635</v>
      </c>
      <c r="E3" s="2">
        <f t="shared" si="0"/>
        <v>0.96212121212121215</v>
      </c>
      <c r="F3" s="2">
        <f t="shared" ref="F3:F7" si="1">D3/B3-1</f>
        <v>-2.3076923076923106E-2</v>
      </c>
    </row>
    <row r="4" spans="1:6" x14ac:dyDescent="0.25">
      <c r="A4" t="s">
        <v>27</v>
      </c>
      <c r="B4" s="1">
        <v>1011</v>
      </c>
      <c r="C4" s="1">
        <v>934</v>
      </c>
      <c r="D4" s="1">
        <v>939</v>
      </c>
      <c r="E4" s="2">
        <f t="shared" si="0"/>
        <v>1.0053533190578159</v>
      </c>
      <c r="F4" s="2">
        <f t="shared" si="1"/>
        <v>-7.1216617210682509E-2</v>
      </c>
    </row>
    <row r="5" spans="1:6" x14ac:dyDescent="0.25">
      <c r="A5" t="s">
        <v>16</v>
      </c>
      <c r="B5" s="1">
        <v>1133</v>
      </c>
      <c r="C5" s="1">
        <v>1234</v>
      </c>
      <c r="D5" s="1">
        <v>1266</v>
      </c>
      <c r="E5" s="2">
        <f t="shared" si="0"/>
        <v>1.0259319286871962</v>
      </c>
      <c r="F5" s="2">
        <f t="shared" si="1"/>
        <v>0.11738746690203006</v>
      </c>
    </row>
    <row r="6" spans="1:6" x14ac:dyDescent="0.25">
      <c r="A6" t="s">
        <v>21</v>
      </c>
      <c r="B6" s="1">
        <v>867</v>
      </c>
      <c r="C6" s="1">
        <v>895</v>
      </c>
      <c r="D6" s="1">
        <v>907</v>
      </c>
      <c r="E6" s="2">
        <f t="shared" si="0"/>
        <v>1.0134078212290503</v>
      </c>
      <c r="F6" s="2">
        <f t="shared" si="1"/>
        <v>4.6136101499423265E-2</v>
      </c>
    </row>
    <row r="7" spans="1:6" x14ac:dyDescent="0.25">
      <c r="A7" t="s">
        <v>28</v>
      </c>
      <c r="B7" s="1">
        <v>4312</v>
      </c>
      <c r="C7" s="1">
        <v>4344</v>
      </c>
      <c r="D7" s="1">
        <v>4333</v>
      </c>
      <c r="E7" s="2">
        <f t="shared" si="0"/>
        <v>0.99746777163904232</v>
      </c>
      <c r="F7" s="2">
        <f t="shared" si="1"/>
        <v>4.8701298701299134E-3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mat_2026</vt:lpstr>
      <vt:lpstr>proyeccion_2026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Javier Sepúlveda Olivares</dc:creator>
  <cp:lastModifiedBy>Carlos Javier Sepúlveda Olivares</cp:lastModifiedBy>
  <dcterms:created xsi:type="dcterms:W3CDTF">2025-12-07T22:42:47Z</dcterms:created>
  <dcterms:modified xsi:type="dcterms:W3CDTF">2025-12-29T13:15:47Z</dcterms:modified>
</cp:coreProperties>
</file>